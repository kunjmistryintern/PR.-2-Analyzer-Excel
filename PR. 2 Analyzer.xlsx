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3.xml" ContentType="application/vnd.openxmlformats-officedocument.drawing+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4.xml" ContentType="application/vnd.openxmlformats-officedocument.drawing+xml"/>
  <Override PartName="/xl/charts/chart10.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5.xml" ContentType="application/vnd.openxmlformats-officedocument.drawing+xml"/>
  <Override PartName="/xl/charts/chart11.xml" ContentType="application/vnd.openxmlformats-officedocument.drawingml.chart+xml"/>
  <Override PartName="/xl/charts/style8.xml" ContentType="application/vnd.ms-office.chartstyle+xml"/>
  <Override PartName="/xl/charts/colors8.xml" ContentType="application/vnd.ms-office.chartcolorstyle+xml"/>
  <Override PartName="/xl/charts/chart12.xml" ContentType="application/vnd.openxmlformats-officedocument.drawingml.chart+xml"/>
  <Override PartName="/xl/charts/style9.xml" ContentType="application/vnd.ms-office.chartstyle+xml"/>
  <Override PartName="/xl/charts/colors9.xml" ContentType="application/vnd.ms-office.chartcolorstyle+xml"/>
  <Override PartName="/xl/charts/chart13.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mc:AlternateContent xmlns:mc="http://schemas.openxmlformats.org/markup-compatibility/2006">
    <mc:Choice Requires="x15">
      <x15ac:absPath xmlns:x15ac="http://schemas.microsoft.com/office/spreadsheetml/2010/11/ac" url="D:\01 Data Analysis\Excel\"/>
    </mc:Choice>
  </mc:AlternateContent>
  <xr:revisionPtr revIDLastSave="0" documentId="13_ncr:1_{5B0E0380-A2AD-4A4C-9644-45255970F75F}" xr6:coauthVersionLast="47" xr6:coauthVersionMax="47" xr10:uidLastSave="{00000000-0000-0000-0000-000000000000}"/>
  <bookViews>
    <workbookView xWindow="-108" yWindow="-108" windowWidth="23256" windowHeight="12456" activeTab="2" xr2:uid="{00000000-000D-0000-FFFF-FFFF00000000}"/>
  </bookViews>
  <sheets>
    <sheet name="Project Instructions" sheetId="1" r:id="rId1"/>
    <sheet name="Dataset" sheetId="2" r:id="rId2"/>
    <sheet name="Dashboard" sheetId="16" r:id="rId3"/>
    <sheet name="Linear Regression" sheetId="9" r:id="rId4"/>
    <sheet name="Descriptive Statistics" sheetId="10" r:id="rId5"/>
    <sheet name="High Value customer" sheetId="17" r:id="rId6"/>
    <sheet name="Sales by region and product" sheetId="13" r:id="rId7"/>
    <sheet name="KPI" sheetId="14" r:id="rId8"/>
    <sheet name="Pivot Table" sheetId="15" r:id="rId9"/>
  </sheets>
  <definedNames>
    <definedName name="Slicer_Months__Order_Date">#N/A</definedName>
    <definedName name="Slicer_Product_Category">#N/A</definedName>
    <definedName name="Slicer_Region">#N/A</definedName>
  </definedNames>
  <calcPr calcId="191029"/>
  <pivotCaches>
    <pivotCache cacheId="1" r:id="rId10"/>
  </pivotCaches>
  <extLst>
    <ext xmlns:x14="http://schemas.microsoft.com/office/spreadsheetml/2009/9/main" uri="{BBE1A952-AA13-448e-AADC-164F8A28A991}">
      <x14:slicerCaches>
        <x14:slicerCache r:id="rId11"/>
        <x14:slicerCache r:id="rId12"/>
        <x14:slicerCache r:id="rId13"/>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4" i="2" l="1"/>
  <c r="P6" i="2" s="1"/>
  <c r="F7" i="17" a="1"/>
  <c r="F7" i="17" s="1"/>
  <c r="G4" i="17"/>
  <c r="G3" i="17"/>
  <c r="K191" i="2"/>
  <c r="K2" i="2" l="1"/>
  <c r="K3" i="2"/>
  <c r="K4" i="2"/>
  <c r="K5" i="2"/>
  <c r="K6" i="2"/>
  <c r="K7" i="2"/>
  <c r="K8" i="2"/>
  <c r="K9" i="2"/>
  <c r="K10" i="2"/>
  <c r="K11" i="2"/>
  <c r="K12" i="2"/>
  <c r="K13" i="2"/>
  <c r="K14" i="2"/>
  <c r="K15" i="2"/>
  <c r="K16" i="2"/>
  <c r="K17" i="2"/>
  <c r="K18" i="2"/>
  <c r="K19" i="2"/>
  <c r="K20" i="2"/>
  <c r="K21" i="2"/>
  <c r="K22" i="2"/>
  <c r="K23" i="2"/>
  <c r="K24" i="2"/>
  <c r="K25" i="2"/>
  <c r="K26" i="2"/>
  <c r="K27" i="2"/>
  <c r="K28" i="2"/>
  <c r="K29" i="2"/>
  <c r="K30" i="2"/>
  <c r="K31" i="2"/>
  <c r="K32" i="2"/>
  <c r="K33" i="2"/>
  <c r="K34" i="2"/>
  <c r="K35" i="2"/>
  <c r="K36" i="2"/>
  <c r="K37" i="2"/>
  <c r="K38" i="2"/>
  <c r="K39" i="2"/>
  <c r="K40" i="2"/>
  <c r="K41" i="2"/>
  <c r="K42" i="2"/>
  <c r="K43" i="2"/>
  <c r="K44" i="2"/>
  <c r="K45" i="2"/>
  <c r="K46" i="2"/>
  <c r="K47" i="2"/>
  <c r="K48" i="2"/>
  <c r="K49" i="2"/>
  <c r="K50" i="2"/>
  <c r="K51" i="2"/>
  <c r="K52" i="2"/>
  <c r="K53" i="2"/>
  <c r="K54" i="2"/>
  <c r="K55" i="2"/>
  <c r="K56" i="2"/>
  <c r="K57" i="2"/>
  <c r="K58" i="2"/>
  <c r="K59" i="2"/>
  <c r="K60" i="2"/>
  <c r="K61" i="2"/>
  <c r="K62" i="2"/>
  <c r="K63" i="2"/>
  <c r="K64" i="2"/>
  <c r="K65" i="2"/>
  <c r="K66" i="2"/>
  <c r="K67" i="2"/>
  <c r="K68" i="2"/>
  <c r="K69" i="2"/>
  <c r="K70" i="2"/>
  <c r="K71" i="2"/>
  <c r="K72" i="2"/>
  <c r="K73" i="2"/>
  <c r="K74" i="2"/>
  <c r="K75" i="2"/>
  <c r="K76" i="2"/>
  <c r="K77" i="2"/>
  <c r="K78" i="2"/>
  <c r="K79" i="2"/>
  <c r="K80" i="2"/>
  <c r="K81" i="2"/>
  <c r="K82" i="2"/>
  <c r="K83" i="2"/>
  <c r="K84" i="2"/>
  <c r="K85" i="2"/>
  <c r="K86" i="2"/>
  <c r="K87" i="2"/>
  <c r="K88" i="2"/>
  <c r="K89" i="2"/>
  <c r="K90" i="2"/>
  <c r="K91" i="2"/>
  <c r="K92" i="2"/>
  <c r="K93" i="2"/>
  <c r="K94" i="2"/>
  <c r="K95" i="2"/>
  <c r="K96" i="2"/>
  <c r="K97" i="2"/>
  <c r="K98" i="2"/>
  <c r="K99" i="2"/>
  <c r="K100" i="2"/>
  <c r="K101" i="2"/>
  <c r="K102" i="2"/>
  <c r="K103" i="2"/>
  <c r="K104" i="2"/>
  <c r="K105" i="2"/>
  <c r="K106" i="2"/>
  <c r="K107" i="2"/>
  <c r="K108" i="2"/>
  <c r="K109" i="2"/>
  <c r="K110" i="2"/>
  <c r="K111" i="2"/>
  <c r="K112" i="2"/>
  <c r="K113" i="2"/>
  <c r="K114" i="2"/>
  <c r="K115" i="2"/>
  <c r="K116" i="2"/>
  <c r="K117" i="2"/>
  <c r="K118" i="2"/>
  <c r="K119" i="2"/>
  <c r="K120" i="2"/>
  <c r="K121" i="2"/>
  <c r="K122" i="2"/>
  <c r="K123" i="2"/>
  <c r="K124" i="2"/>
  <c r="K125" i="2"/>
  <c r="K126" i="2"/>
  <c r="K127" i="2"/>
  <c r="K128" i="2"/>
  <c r="K129" i="2"/>
  <c r="K130" i="2"/>
  <c r="K131" i="2"/>
  <c r="K132" i="2"/>
  <c r="K133" i="2"/>
  <c r="K134" i="2"/>
  <c r="K135" i="2"/>
  <c r="K136" i="2"/>
  <c r="K137" i="2"/>
  <c r="K138" i="2"/>
  <c r="K139" i="2"/>
  <c r="K140" i="2"/>
  <c r="K141" i="2"/>
  <c r="K142" i="2"/>
  <c r="K143" i="2"/>
  <c r="K144" i="2"/>
  <c r="K145" i="2"/>
  <c r="K146" i="2"/>
  <c r="K147" i="2"/>
  <c r="K148" i="2"/>
  <c r="K149" i="2"/>
  <c r="K150" i="2"/>
  <c r="K151" i="2"/>
  <c r="K152" i="2"/>
  <c r="K153" i="2"/>
  <c r="K154" i="2"/>
  <c r="K155" i="2"/>
  <c r="K156" i="2"/>
  <c r="K157" i="2"/>
  <c r="K158" i="2"/>
  <c r="K159" i="2"/>
  <c r="K160" i="2"/>
  <c r="K161" i="2"/>
  <c r="K162" i="2"/>
  <c r="K163" i="2"/>
  <c r="K164" i="2"/>
  <c r="K165" i="2"/>
  <c r="K166" i="2"/>
  <c r="K167" i="2"/>
  <c r="K168" i="2"/>
  <c r="K169" i="2"/>
  <c r="K170" i="2"/>
  <c r="K171" i="2"/>
  <c r="K172" i="2"/>
  <c r="K173" i="2"/>
  <c r="K174" i="2"/>
  <c r="K175" i="2"/>
  <c r="K176" i="2"/>
  <c r="K177" i="2"/>
  <c r="K178" i="2"/>
  <c r="K179" i="2"/>
  <c r="K180" i="2"/>
  <c r="K181" i="2"/>
  <c r="K182" i="2"/>
  <c r="K183" i="2"/>
  <c r="K184" i="2"/>
  <c r="K185" i="2"/>
  <c r="K186" i="2"/>
  <c r="K187" i="2"/>
  <c r="K188" i="2"/>
  <c r="K189" i="2"/>
  <c r="K190" i="2"/>
  <c r="K192" i="2"/>
  <c r="K193" i="2"/>
  <c r="K194" i="2"/>
  <c r="K195" i="2"/>
  <c r="K196" i="2"/>
  <c r="K197" i="2"/>
  <c r="K198" i="2"/>
  <c r="K199" i="2"/>
  <c r="K200" i="2"/>
  <c r="K201" i="2"/>
  <c r="J2" i="2"/>
  <c r="J3" i="2"/>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I202" i="2"/>
  <c r="T15" i="2"/>
  <c r="T14" i="2"/>
  <c r="Q15" i="2" l="1"/>
  <c r="Q22" i="2"/>
  <c r="Q23" i="2"/>
  <c r="Q24" i="2"/>
  <c r="Q14" i="2"/>
  <c r="Q21" i="2"/>
  <c r="Q20" i="2"/>
  <c r="Q19" i="2"/>
  <c r="Q18" i="2"/>
  <c r="Q17" i="2"/>
  <c r="Q16" i="2"/>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<sst xmlns="http://schemas.openxmlformats.org/spreadsheetml/2006/main" count="1122" uniqueCount="166">
  <si>
    <t>PR. 2 Analyzer</t>
  </si>
  <si>
    <t>Customer_ID</t>
  </si>
  <si>
    <t>Customer_Name</t>
  </si>
  <si>
    <t>Region</t>
  </si>
  <si>
    <t>Product_Category</t>
  </si>
  <si>
    <t>Sales</t>
  </si>
  <si>
    <t>Quantity</t>
  </si>
  <si>
    <t>Discount</t>
  </si>
  <si>
    <t>Order_Date</t>
  </si>
  <si>
    <t>Profit</t>
  </si>
  <si>
    <t>CUST019</t>
  </si>
  <si>
    <t>James Davis</t>
  </si>
  <si>
    <t>West</t>
  </si>
  <si>
    <t>Books</t>
  </si>
  <si>
    <t>CUST012</t>
  </si>
  <si>
    <t>Robert Anderson</t>
  </si>
  <si>
    <t>Clothing</t>
  </si>
  <si>
    <t>CUST017</t>
  </si>
  <si>
    <t>James Taylor</t>
  </si>
  <si>
    <t>East</t>
  </si>
  <si>
    <t>CUST005</t>
  </si>
  <si>
    <t>South</t>
  </si>
  <si>
    <t>Electronics</t>
  </si>
  <si>
    <t>CUST030</t>
  </si>
  <si>
    <t>James Wilson</t>
  </si>
  <si>
    <t>North</t>
  </si>
  <si>
    <t>CUST007</t>
  </si>
  <si>
    <t>Michael Anderson</t>
  </si>
  <si>
    <t>Furniture</t>
  </si>
  <si>
    <t>CUST001</t>
  </si>
  <si>
    <t>Linda Wilson</t>
  </si>
  <si>
    <t>CUST026</t>
  </si>
  <si>
    <t>Mary Davis</t>
  </si>
  <si>
    <t>CUST009</t>
  </si>
  <si>
    <t>Linda Jackson</t>
  </si>
  <si>
    <t>Central</t>
  </si>
  <si>
    <t>CUST010</t>
  </si>
  <si>
    <t>David Thomas</t>
  </si>
  <si>
    <t>CUST014</t>
  </si>
  <si>
    <t>Emma Davis</t>
  </si>
  <si>
    <t>Office Supplies</t>
  </si>
  <si>
    <t>CUST023</t>
  </si>
  <si>
    <t>CUST029</t>
  </si>
  <si>
    <t>David Smith</t>
  </si>
  <si>
    <t>Sarah Anderson</t>
  </si>
  <si>
    <t>CUST008</t>
  </si>
  <si>
    <t>Lisa Thomas</t>
  </si>
  <si>
    <t>CUST006</t>
  </si>
  <si>
    <t>Mary Jackson</t>
  </si>
  <si>
    <t>Lisa Davis</t>
  </si>
  <si>
    <t>CUST022</t>
  </si>
  <si>
    <t>Linda Brown</t>
  </si>
  <si>
    <t>John Brown</t>
  </si>
  <si>
    <t>CUST028</t>
  </si>
  <si>
    <t>Linda Taylor</t>
  </si>
  <si>
    <t>CUST025</t>
  </si>
  <si>
    <t>David Brown</t>
  </si>
  <si>
    <t>David Davis</t>
  </si>
  <si>
    <t>CUST021</t>
  </si>
  <si>
    <t>CUST015</t>
  </si>
  <si>
    <t>Mary Wilson</t>
  </si>
  <si>
    <t>CUST016</t>
  </si>
  <si>
    <t>Emma Wilson</t>
  </si>
  <si>
    <t>Linda Davis</t>
  </si>
  <si>
    <t>CUST011</t>
  </si>
  <si>
    <t>Sarah Davis</t>
  </si>
  <si>
    <t>CUST002</t>
  </si>
  <si>
    <t>Emma Taylor</t>
  </si>
  <si>
    <t>CUST003</t>
  </si>
  <si>
    <t>CUST020</t>
  </si>
  <si>
    <t>Linda Moore</t>
  </si>
  <si>
    <t>CUST024</t>
  </si>
  <si>
    <t>David Anderson</t>
  </si>
  <si>
    <t>CUST004</t>
  </si>
  <si>
    <t>CUST013</t>
  </si>
  <si>
    <t>CUST027</t>
  </si>
  <si>
    <t>CUST018</t>
  </si>
  <si>
    <t>1. Apply conditional formatting to highlight top 10 customers based on total purchase.</t>
  </si>
  <si>
    <t>Done</t>
  </si>
  <si>
    <t>2. Perform WHAT IF Analysis to see impact of changing discount on total profit.</t>
  </si>
  <si>
    <t>3. Use Data Analysis Toolpak to run Linear Regression (Profit vs Sales).</t>
  </si>
  <si>
    <t>SUMMARY OUTPUT</t>
  </si>
  <si>
    <t>Regression Statistics</t>
  </si>
  <si>
    <t>Multiple R</t>
  </si>
  <si>
    <t>R Square</t>
  </si>
  <si>
    <t>Adjusted R Square</t>
  </si>
  <si>
    <t>Standard Error</t>
  </si>
  <si>
    <t>Observations</t>
  </si>
  <si>
    <t>ANOVA</t>
  </si>
  <si>
    <t>Regression</t>
  </si>
  <si>
    <t>Residual</t>
  </si>
  <si>
    <t>Total</t>
  </si>
  <si>
    <t>Intercept</t>
  </si>
  <si>
    <t>df</t>
  </si>
  <si>
    <t>SS</t>
  </si>
  <si>
    <t>MS</t>
  </si>
  <si>
    <t>F</t>
  </si>
  <si>
    <t>Significance F</t>
  </si>
  <si>
    <t>Coefficients</t>
  </si>
  <si>
    <t>t Stat</t>
  </si>
  <si>
    <t>P-value</t>
  </si>
  <si>
    <t>Lower 95%</t>
  </si>
  <si>
    <t>Upper 95%</t>
  </si>
  <si>
    <t>Lower 95.0%</t>
  </si>
  <si>
    <t>Upper 95.0%</t>
  </si>
  <si>
    <t>RESIDUAL OUTPUT</t>
  </si>
  <si>
    <t>Observation</t>
  </si>
  <si>
    <t>Residuals</t>
  </si>
  <si>
    <t>Standard Residuals</t>
  </si>
  <si>
    <t>PROBABILITY OUTPUT</t>
  </si>
  <si>
    <t>Percentile</t>
  </si>
  <si>
    <t>Predicted 331.55</t>
  </si>
  <si>
    <t>Linear Regression</t>
  </si>
  <si>
    <t>Slope</t>
  </si>
  <si>
    <t>Mean</t>
  </si>
  <si>
    <t>Median</t>
  </si>
  <si>
    <t>Mode</t>
  </si>
  <si>
    <t>Standard Deviation</t>
  </si>
  <si>
    <t>Sample Variance</t>
  </si>
  <si>
    <t>Kurtosis</t>
  </si>
  <si>
    <t>Skewness</t>
  </si>
  <si>
    <t>Range</t>
  </si>
  <si>
    <t>Minimum</t>
  </si>
  <si>
    <t>Maximum</t>
  </si>
  <si>
    <t>Sum</t>
  </si>
  <si>
    <t>Count</t>
  </si>
  <si>
    <t>4. Use 'Descriptive Statistics' from Analysis Toolpak on the dataset.</t>
  </si>
  <si>
    <t>Growth</t>
  </si>
  <si>
    <t>Row Labels</t>
  </si>
  <si>
    <t>Grand Total</t>
  </si>
  <si>
    <t>Apr</t>
  </si>
  <si>
    <t>May</t>
  </si>
  <si>
    <t>Jun</t>
  </si>
  <si>
    <t>Timestamp</t>
  </si>
  <si>
    <t>Sum of Sales</t>
  </si>
  <si>
    <t>8. Create Pivot Table to analyze total sales by region and product.</t>
  </si>
  <si>
    <t>Jan</t>
  </si>
  <si>
    <t>Feb</t>
  </si>
  <si>
    <t>Mar</t>
  </si>
  <si>
    <t>Jul</t>
  </si>
  <si>
    <t>Aug</t>
  </si>
  <si>
    <t>Sep</t>
  </si>
  <si>
    <t>Oct</t>
  </si>
  <si>
    <t>Nov</t>
  </si>
  <si>
    <t>Dec</t>
  </si>
  <si>
    <t>Sum of Profit</t>
  </si>
  <si>
    <t>Pivot Table</t>
  </si>
  <si>
    <t>RigionWise Sales</t>
  </si>
  <si>
    <t>Categorywise Sales</t>
  </si>
  <si>
    <t>Monthswise Sales</t>
  </si>
  <si>
    <t>Namewise Sale</t>
  </si>
  <si>
    <t>Categorywise profit</t>
  </si>
  <si>
    <r>
      <rPr>
        <b/>
        <sz val="12"/>
        <color theme="1"/>
        <rFont val="Calibri"/>
        <family val="2"/>
      </rPr>
      <t xml:space="preserve">Topics:
</t>
    </r>
    <r>
      <rPr>
        <sz val="12"/>
        <color theme="1"/>
        <rFont val="Calibri"/>
        <family val="2"/>
      </rPr>
      <t xml:space="preserve">- Conditional Formatting
 - WHAT IF Analysis
 - Linear Regression (Using Data Analysis Toolpak)
 - Data Analysis Feature (Descriptive Stats, Regression, Histogram)
 - Data Storytelling
 - Add Symbols or Arrows in Custom Formatting
 - Create Timestamp
 - Find High-Value Customers using Groupby(), index(), and match() combination
 - Advanced Descriptive Analytics
 - Pivot Table with Dashboard
 - Creating bar charts
 - Creating line charts
 - Creating pie charts
</t>
    </r>
  </si>
  <si>
    <t>7. Identify high-value customers using index(), match(), and filters.</t>
  </si>
  <si>
    <t>MAX Sales</t>
  </si>
  <si>
    <t>Customer Name</t>
  </si>
  <si>
    <t>&lt;-----------</t>
  </si>
  <si>
    <t>High Value Customer</t>
  </si>
  <si>
    <t>&lt;--------------</t>
  </si>
  <si>
    <t>Top Customer</t>
  </si>
  <si>
    <r>
      <t>Main Tasks:
1. Apply conditional formatting to highlight top 10 customers based on total purchase.(</t>
    </r>
    <r>
      <rPr>
        <b/>
        <sz val="12"/>
        <color theme="1"/>
        <rFont val="Calibri"/>
        <family val="2"/>
      </rPr>
      <t>Dataset</t>
    </r>
    <r>
      <rPr>
        <sz val="12"/>
        <color theme="1"/>
        <rFont val="Calibri"/>
        <family val="2"/>
      </rPr>
      <t>)
2. Perform WHAT IF Analysis to see impact of changing discount on total profit.(</t>
    </r>
    <r>
      <rPr>
        <b/>
        <sz val="12"/>
        <color theme="1"/>
        <rFont val="Calibri"/>
        <family val="2"/>
      </rPr>
      <t>Dataset</t>
    </r>
    <r>
      <rPr>
        <sz val="12"/>
        <color theme="1"/>
        <rFont val="Calibri"/>
        <family val="2"/>
      </rPr>
      <t>)
3. Use Data Analysis Toolpak to run Linear Regression (Profit vs Sales).(</t>
    </r>
    <r>
      <rPr>
        <b/>
        <sz val="12"/>
        <color theme="1"/>
        <rFont val="Calibri"/>
        <family val="2"/>
      </rPr>
      <t>Dataset &amp; Linear Regression</t>
    </r>
    <r>
      <rPr>
        <sz val="12"/>
        <color theme="1"/>
        <rFont val="Calibri"/>
        <family val="2"/>
      </rPr>
      <t>)
4. Use 'Descriptive Statistics' from Analysis Toolpak on the dataset.(</t>
    </r>
    <r>
      <rPr>
        <b/>
        <sz val="12"/>
        <color theme="1"/>
        <rFont val="Calibri"/>
        <family val="2"/>
      </rPr>
      <t>Descriptive Statistics</t>
    </r>
    <r>
      <rPr>
        <sz val="12"/>
        <color theme="1"/>
        <rFont val="Calibri"/>
        <family val="2"/>
      </rPr>
      <t>)
5. Add up/down arrows on monthly sales growth.(</t>
    </r>
    <r>
      <rPr>
        <b/>
        <sz val="12"/>
        <color theme="1"/>
        <rFont val="Calibri"/>
        <family val="2"/>
      </rPr>
      <t>Dataset</t>
    </r>
    <r>
      <rPr>
        <sz val="12"/>
        <color theme="1"/>
        <rFont val="Calibri"/>
        <family val="2"/>
      </rPr>
      <t>)
6. Create a timestamp column using NOW().(</t>
    </r>
    <r>
      <rPr>
        <b/>
        <sz val="12"/>
        <color theme="1"/>
        <rFont val="Calibri"/>
        <family val="2"/>
      </rPr>
      <t>Dataset</t>
    </r>
    <r>
      <rPr>
        <sz val="12"/>
        <color theme="1"/>
        <rFont val="Calibri"/>
        <family val="2"/>
      </rPr>
      <t>)
7. Identify high-value customers using index(), match(), and filters.(</t>
    </r>
    <r>
      <rPr>
        <b/>
        <sz val="12"/>
        <color theme="1"/>
        <rFont val="Calibri"/>
        <family val="2"/>
      </rPr>
      <t>High Value customer</t>
    </r>
    <r>
      <rPr>
        <sz val="12"/>
        <color theme="1"/>
        <rFont val="Calibri"/>
        <family val="2"/>
      </rPr>
      <t>)
8. Create Pivot Table to analyze total sales by region and product.(</t>
    </r>
    <r>
      <rPr>
        <b/>
        <sz val="12"/>
        <color theme="1"/>
        <rFont val="Calibri"/>
        <family val="2"/>
      </rPr>
      <t>Sales by region and product</t>
    </r>
    <r>
      <rPr>
        <sz val="12"/>
        <color theme="1"/>
        <rFont val="Calibri"/>
        <family val="2"/>
      </rPr>
      <t>)
9. Create bar, line, and pie charts to visualize KPIs. (</t>
    </r>
    <r>
      <rPr>
        <b/>
        <sz val="12"/>
        <color theme="1"/>
        <rFont val="Calibri"/>
        <family val="2"/>
      </rPr>
      <t>KPI</t>
    </r>
    <r>
      <rPr>
        <sz val="12"/>
        <color theme="1"/>
        <rFont val="Calibri"/>
        <family val="2"/>
      </rPr>
      <t>)
10. Summarize insights using a dashboard.(</t>
    </r>
    <r>
      <rPr>
        <b/>
        <sz val="12"/>
        <color theme="1"/>
        <rFont val="Calibri"/>
        <family val="2"/>
      </rPr>
      <t>Dashboard</t>
    </r>
    <r>
      <rPr>
        <sz val="12"/>
        <color theme="1"/>
        <rFont val="Calibri"/>
        <family val="2"/>
      </rPr>
      <t>)
Deliverable:
Complete the given worksheet by applying the required formulas in respective sheets.</t>
    </r>
  </si>
  <si>
    <t>9. Create bar, line, and pie charts to visualize KPIs.</t>
  </si>
  <si>
    <t>5. Add up/down arrows on monthly sales growth.</t>
  </si>
  <si>
    <t>6. Create a timestamp column using NOW()</t>
  </si>
  <si>
    <t>Total Profit</t>
  </si>
  <si>
    <t>Profit after discount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</si>
</sst>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yyyy\-mm\-dd"/>
  </numFmts>
  <fonts count="22" x14ac:knownFonts="1">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1"/>
      <name val="Calibri"/>
      <family val="2"/>
    </font>
    <font>
      <sz val="11"/>
      <color theme="1"/>
      <name val="Calibri"/>
      <family val="2"/>
    </font>
    <font>
      <b/>
      <sz val="11"/>
      <color theme="1"/>
      <name val="Calibri"/>
      <family val="2"/>
      <scheme val="minor"/>
    </font>
    <font>
      <sz val="11"/>
      <color theme="1"/>
      <name val="Calibri"/>
      <family val="2"/>
      <scheme val="minor"/>
    </font>
    <font>
      <b/>
      <sz val="24"/>
      <color theme="1"/>
      <name val="Calibri"/>
      <family val="2"/>
    </font>
    <font>
      <sz val="11"/>
      <color rgb="FFFF0000"/>
      <name val="Calibri"/>
      <family val="2"/>
      <scheme val="minor"/>
    </font>
    <font>
      <i/>
      <sz val="11"/>
      <color theme="1"/>
      <name val="Calibri"/>
      <family val="2"/>
      <scheme val="minor"/>
    </font>
    <font>
      <b/>
      <i/>
      <sz val="12"/>
      <color theme="1"/>
      <name val="Calibri"/>
      <family val="2"/>
      <scheme val="minor"/>
    </font>
    <font>
      <b/>
      <sz val="11"/>
      <color theme="1"/>
      <name val="Times New Roman"/>
      <family val="1"/>
    </font>
    <font>
      <b/>
      <sz val="16"/>
      <color theme="1"/>
      <name val="Calibri"/>
      <family val="2"/>
      <scheme val="minor"/>
    </font>
    <font>
      <b/>
      <sz val="26"/>
      <color theme="1"/>
      <name val="Calibri"/>
      <family val="2"/>
      <scheme val="minor"/>
    </font>
    <font>
      <sz val="18"/>
      <color theme="1"/>
      <name val="Calibri"/>
      <family val="2"/>
      <scheme val="minor"/>
    </font>
    <font>
      <b/>
      <i/>
      <sz val="11"/>
      <color theme="1"/>
      <name val="Calibri"/>
      <family val="2"/>
      <scheme val="minor"/>
    </font>
    <font>
      <sz val="12"/>
      <color theme="1"/>
      <name val="Calibri"/>
      <family val="2"/>
    </font>
    <font>
      <b/>
      <sz val="12"/>
      <color theme="1"/>
      <name val="Calibri"/>
      <family val="2"/>
    </font>
    <font>
      <sz val="14"/>
      <color theme="1"/>
      <name val="Calibri"/>
      <family val="2"/>
      <scheme val="minor"/>
    </font>
    <font>
      <b/>
      <sz val="22"/>
      <color theme="1"/>
      <name val="Calibri"/>
      <family val="2"/>
      <scheme val="minor"/>
    </font>
  </fonts>
  <fills count="6">
    <fill>
      <patternFill patternType="none"/>
    </fill>
    <fill>
      <patternFill patternType="gray125"/>
    </fill>
    <fill>
      <patternFill patternType="solid">
        <fgColor rgb="FFFFF2CC"/>
        <bgColor rgb="FFFFF2CC"/>
      </patternFill>
    </fill>
    <fill>
      <patternFill patternType="solid">
        <fgColor theme="9" tint="0.79998168889431442"/>
        <bgColor indexed="64"/>
      </patternFill>
    </fill>
    <fill>
      <patternFill patternType="solid">
        <fgColor rgb="FF3A3A3A"/>
        <bgColor indexed="64"/>
      </patternFill>
    </fill>
    <fill>
      <patternFill patternType="solid">
        <fgColor theme="4" tint="0.59999389629810485"/>
        <bgColor indexed="64"/>
      </patternFill>
    </fill>
  </fills>
  <borders count="18">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
      <left/>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diagonal/>
    </border>
  </borders>
  <cellStyleXfs count="1">
    <xf numFmtId="0" fontId="0" fillId="0" borderId="0"/>
  </cellStyleXfs>
  <cellXfs count="57">
    <xf numFmtId="0" fontId="0" fillId="0" borderId="0" xfId="0"/>
    <xf numFmtId="0" fontId="6" fillId="0" borderId="0" xfId="0" applyFont="1"/>
    <xf numFmtId="0" fontId="7" fillId="0" borderId="0" xfId="0" applyFont="1"/>
    <xf numFmtId="0" fontId="10" fillId="0" borderId="0" xfId="0" applyFont="1"/>
    <xf numFmtId="0" fontId="4" fillId="0" borderId="0" xfId="0" applyFont="1"/>
    <xf numFmtId="0" fontId="0" fillId="0" borderId="3" xfId="0" applyBorder="1"/>
    <xf numFmtId="0" fontId="0" fillId="0" borderId="4" xfId="0" applyBorder="1"/>
    <xf numFmtId="0" fontId="11" fillId="0" borderId="5" xfId="0" applyFont="1" applyBorder="1" applyAlignment="1">
      <alignment horizontal="center"/>
    </xf>
    <xf numFmtId="2" fontId="0" fillId="0" borderId="0" xfId="0" applyNumberFormat="1"/>
    <xf numFmtId="2" fontId="0" fillId="0" borderId="4" xfId="0" applyNumberFormat="1" applyBorder="1"/>
    <xf numFmtId="0" fontId="3" fillId="0" borderId="3" xfId="0" applyFont="1" applyBorder="1"/>
    <xf numFmtId="2" fontId="0" fillId="0" borderId="3" xfId="0" applyNumberFormat="1" applyBorder="1"/>
    <xf numFmtId="0" fontId="7" fillId="0" borderId="3" xfId="0" applyFont="1" applyBorder="1"/>
    <xf numFmtId="0" fontId="8" fillId="0" borderId="3" xfId="0" applyFont="1" applyBorder="1"/>
    <xf numFmtId="164" fontId="8" fillId="0" borderId="3" xfId="0" applyNumberFormat="1" applyFont="1" applyBorder="1"/>
    <xf numFmtId="0" fontId="13" fillId="0" borderId="3" xfId="0" applyFont="1" applyBorder="1"/>
    <xf numFmtId="0" fontId="7" fillId="0" borderId="6" xfId="0" applyFont="1" applyBorder="1"/>
    <xf numFmtId="0" fontId="8" fillId="0" borderId="6" xfId="0" applyFont="1" applyBorder="1"/>
    <xf numFmtId="0" fontId="0" fillId="0" borderId="0" xfId="0" pivotButton="1"/>
    <xf numFmtId="0" fontId="0" fillId="0" borderId="0" xfId="0" applyAlignment="1">
      <alignment horizontal="left"/>
    </xf>
    <xf numFmtId="0" fontId="7" fillId="0" borderId="9" xfId="0" applyFont="1" applyBorder="1"/>
    <xf numFmtId="22" fontId="2" fillId="0" borderId="7" xfId="0" applyNumberFormat="1" applyFont="1" applyBorder="1"/>
    <xf numFmtId="22" fontId="2" fillId="0" borderId="3" xfId="0" applyNumberFormat="1" applyFont="1" applyBorder="1"/>
    <xf numFmtId="22" fontId="2" fillId="0" borderId="8" xfId="0" applyNumberFormat="1" applyFont="1" applyBorder="1"/>
    <xf numFmtId="0" fontId="17" fillId="0" borderId="5" xfId="0" applyFont="1" applyBorder="1" applyAlignment="1">
      <alignment horizontal="center"/>
    </xf>
    <xf numFmtId="0" fontId="17" fillId="0" borderId="5" xfId="0" applyFont="1" applyBorder="1" applyAlignment="1">
      <alignment horizontal="centerContinuous"/>
    </xf>
    <xf numFmtId="0" fontId="18" fillId="0" borderId="0" xfId="0" applyFont="1" applyAlignment="1">
      <alignment wrapText="1"/>
    </xf>
    <xf numFmtId="0" fontId="18" fillId="0" borderId="1" xfId="0" applyFont="1" applyBorder="1" applyAlignment="1">
      <alignment wrapText="1"/>
    </xf>
    <xf numFmtId="0" fontId="9" fillId="2" borderId="2" xfId="0" applyFont="1" applyFill="1" applyBorder="1" applyAlignment="1">
      <alignment horizontal="center"/>
    </xf>
    <xf numFmtId="0" fontId="5" fillId="2" borderId="0" xfId="0" applyFont="1" applyFill="1" applyAlignment="1">
      <alignment horizontal="center"/>
    </xf>
    <xf numFmtId="0" fontId="15" fillId="3" borderId="0" xfId="0" applyFont="1" applyFill="1" applyAlignment="1">
      <alignment horizontal="center"/>
    </xf>
    <xf numFmtId="0" fontId="12" fillId="0" borderId="3" xfId="0" applyFont="1" applyBorder="1" applyAlignment="1">
      <alignment horizontal="center" vertical="center"/>
    </xf>
    <xf numFmtId="0" fontId="14" fillId="3" borderId="0" xfId="0" applyFont="1" applyFill="1" applyAlignment="1">
      <alignment horizontal="center"/>
    </xf>
    <xf numFmtId="0" fontId="16" fillId="3" borderId="0" xfId="0" applyFont="1" applyFill="1" applyAlignment="1">
      <alignment horizontal="center"/>
    </xf>
    <xf numFmtId="0" fontId="0" fillId="3" borderId="0" xfId="0" applyFill="1" applyAlignment="1">
      <alignment horizontal="center"/>
    </xf>
    <xf numFmtId="0" fontId="2" fillId="0" borderId="0" xfId="0" applyFont="1" applyAlignment="1">
      <alignment horizontal="center"/>
    </xf>
    <xf numFmtId="0" fontId="0" fillId="0" borderId="0" xfId="0" applyAlignment="1">
      <alignment horizontal="center"/>
    </xf>
    <xf numFmtId="0" fontId="0" fillId="0" borderId="0" xfId="0" applyNumberFormat="1"/>
    <xf numFmtId="0" fontId="1" fillId="0" borderId="0" xfId="0" applyFont="1"/>
    <xf numFmtId="0" fontId="2" fillId="4" borderId="0" xfId="0" applyFont="1" applyFill="1"/>
    <xf numFmtId="0" fontId="7" fillId="5" borderId="3" xfId="0" applyFont="1" applyFill="1" applyBorder="1"/>
    <xf numFmtId="0" fontId="1" fillId="0" borderId="10" xfId="0" applyFont="1" applyBorder="1" applyAlignment="1">
      <alignment horizontal="center" vertical="center"/>
    </xf>
    <xf numFmtId="0" fontId="0" fillId="0" borderId="10" xfId="0" applyBorder="1" applyAlignment="1">
      <alignment horizontal="center" vertical="center"/>
    </xf>
    <xf numFmtId="0" fontId="1" fillId="0" borderId="0" xfId="0" applyFont="1" applyAlignment="1">
      <alignment horizontal="center" vertical="center"/>
    </xf>
    <xf numFmtId="0" fontId="0" fillId="0" borderId="0" xfId="0" applyAlignment="1">
      <alignment horizontal="center" vertical="center"/>
    </xf>
    <xf numFmtId="0" fontId="0" fillId="0" borderId="3" xfId="0" pivotButton="1" applyBorder="1"/>
    <xf numFmtId="0" fontId="0" fillId="0" borderId="3" xfId="0" applyBorder="1" applyAlignment="1">
      <alignment horizontal="left"/>
    </xf>
    <xf numFmtId="0" fontId="0" fillId="0" borderId="3" xfId="0" applyNumberFormat="1" applyBorder="1"/>
    <xf numFmtId="0" fontId="20" fillId="3" borderId="11" xfId="0" applyFont="1" applyFill="1" applyBorder="1" applyAlignment="1">
      <alignment horizontal="center"/>
    </xf>
    <xf numFmtId="0" fontId="20" fillId="3" borderId="12" xfId="0" applyFont="1" applyFill="1" applyBorder="1" applyAlignment="1">
      <alignment horizontal="center"/>
    </xf>
    <xf numFmtId="0" fontId="20" fillId="3" borderId="13" xfId="0" applyFont="1" applyFill="1" applyBorder="1" applyAlignment="1">
      <alignment horizontal="center"/>
    </xf>
    <xf numFmtId="0" fontId="21" fillId="3" borderId="14" xfId="0" applyFont="1" applyFill="1" applyBorder="1" applyAlignment="1">
      <alignment horizontal="center"/>
    </xf>
    <xf numFmtId="0" fontId="21" fillId="3" borderId="15" xfId="0" applyFont="1" applyFill="1" applyBorder="1" applyAlignment="1">
      <alignment horizontal="center"/>
    </xf>
    <xf numFmtId="0" fontId="21" fillId="3" borderId="16" xfId="0" applyFont="1" applyFill="1" applyBorder="1" applyAlignment="1">
      <alignment horizontal="center"/>
    </xf>
    <xf numFmtId="0" fontId="15" fillId="3" borderId="17" xfId="0" applyFont="1" applyFill="1" applyBorder="1" applyAlignment="1">
      <alignment horizontal="center"/>
    </xf>
    <xf numFmtId="0" fontId="15" fillId="3" borderId="0" xfId="0" applyFont="1" applyFill="1" applyBorder="1" applyAlignment="1">
      <alignment horizontal="center"/>
    </xf>
    <xf numFmtId="2" fontId="7" fillId="0" borderId="0" xfId="0" applyNumberFormat="1" applyFont="1"/>
  </cellXfs>
  <cellStyles count="1">
    <cellStyle name="Normal" xfId="0" builtinId="0"/>
  </cellStyles>
  <dxfs count="26">
    <dxf>
      <font>
        <b/>
        <i/>
      </font>
      <fill>
        <patternFill>
          <bgColor theme="4" tint="-0.24994659260841701"/>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u val="none"/>
        <color theme="0" tint="-4.9989318521683403E-2"/>
        <name val="Calibri"/>
        <family val="2"/>
        <scheme val="major"/>
      </font>
      <border>
        <bottom style="thin">
          <color theme="0" tint="-0.34998626667073579"/>
        </bottom>
        <vertical/>
        <horizontal/>
      </border>
    </dxf>
    <dxf>
      <font>
        <color theme="1"/>
      </font>
      <fill>
        <patternFill>
          <bgColor rgb="FF505454"/>
        </patternFill>
      </fill>
      <border>
        <left style="thin">
          <color theme="0" tint="-0.499984740745262"/>
        </left>
        <right style="thin">
          <color theme="0" tint="-0.499984740745262"/>
        </right>
        <top style="thin">
          <color theme="0" tint="-0.499984740745262"/>
        </top>
        <bottom style="thin">
          <color theme="0" tint="-0.499984740745262"/>
        </bottom>
        <vertical/>
        <horizontal/>
      </border>
    </dxf>
    <dxf>
      <fill>
        <patternFill patternType="darkGray">
          <bgColor theme="1" tint="0.34998626667073579"/>
        </patternFill>
      </fill>
    </dxf>
    <dxf>
      <font>
        <b val="0"/>
        <i val="0"/>
        <strike val="0"/>
        <condense val="0"/>
        <extend val="0"/>
        <outline val="0"/>
        <shadow val="0"/>
        <u val="none"/>
        <vertAlign val="baseline"/>
        <sz val="11"/>
        <color theme="1"/>
        <name val="Calibri"/>
        <family val="2"/>
        <scheme val="minor"/>
      </font>
      <numFmt numFmtId="27" formatCode="dd/mm/yyyy\ h:mm"/>
      <border diagonalUp="0" diagonalDown="0">
        <left style="thin">
          <color indexed="64"/>
        </left>
        <right style="thin">
          <color indexed="64"/>
        </right>
        <top style="thin">
          <color indexed="64"/>
        </top>
        <bottom style="thin">
          <color indexed="64"/>
        </bottom>
        <vertical/>
        <horizontal/>
      </border>
    </dxf>
    <dxf>
      <numFmt numFmtId="0" formatCode="General"/>
    </dxf>
    <dxf>
      <font>
        <b val="0"/>
        <i val="0"/>
        <strike val="0"/>
        <condense val="0"/>
        <extend val="0"/>
        <outline val="0"/>
        <shadow val="0"/>
        <u val="none"/>
        <vertAlign val="baseline"/>
        <sz val="11"/>
        <color theme="1"/>
        <name val="Calibri"/>
        <family val="2"/>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numFmt numFmtId="164" formatCode="yyyy\-mm\-dd"/>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border diagonalUp="0" diagonalDown="0">
        <left/>
        <right style="thin">
          <color indexed="64"/>
        </right>
        <top style="thin">
          <color indexed="64"/>
        </top>
        <bottom style="thin">
          <color indexed="64"/>
        </bottom>
        <vertical/>
        <horizontal/>
      </border>
    </dxf>
    <dxf>
      <border outline="0">
        <left style="thin">
          <color indexed="64"/>
        </left>
      </border>
    </dxf>
    <dxf>
      <font>
        <b val="0"/>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border diagonalUp="0" diagonalDown="0" outline="0">
        <left style="thin">
          <color indexed="64"/>
        </left>
        <right style="thin">
          <color indexed="64"/>
        </right>
        <top/>
        <bottom/>
      </border>
    </dxf>
  </dxfs>
  <tableStyles count="5" defaultTableStyle="TableStyleMedium2" defaultPivotStyle="PivotStyleLight16">
    <tableStyle name="Slicer Style 1" pivot="0" table="0" count="0" xr9:uid="{ACE7B915-0A9A-4511-951F-5CA117F523DD}"/>
    <tableStyle name="Slicer Style 2" pivot="0" table="0" count="0" xr9:uid="{FF698660-C711-417E-8D23-23B44E0F24E5}"/>
    <tableStyle name="Slicer Style 3" pivot="0" table="0" count="0" xr9:uid="{F3C5D7C0-A991-4648-B01A-11CC2A0481FA}"/>
    <tableStyle name="Slicer Style 4" pivot="0" table="0" count="1" xr9:uid="{7C8B83A7-BB6B-4D8D-99EE-EED50E4B97C6}">
      <tableStyleElement type="headerRow" dxfId="11"/>
    </tableStyle>
    <tableStyle name="SlicerStyleOther1 2" pivot="0" table="0" count="10" xr9:uid="{CA48BDA8-EE2A-4CDF-BE07-7360D16F04B8}">
      <tableStyleElement type="wholeTable" dxfId="10"/>
      <tableStyleElement type="headerRow" dxfId="9"/>
    </tableStyle>
  </tableStyles>
  <colors>
    <mruColors>
      <color rgb="FF3A3A3A"/>
      <color rgb="FF505454"/>
      <color rgb="FFF2F2F2"/>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1"/>
          </font>
          <fill>
            <patternFill patternType="solid">
              <fgColor theme="0" tint="-0.14999847407452621"/>
              <bgColor theme="0" tint="-0.14999847407452621"/>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0" tint="-0.249977111117893"/>
              <bgColor theme="0" tint="-0.249977111117893"/>
            </patternFill>
          </fill>
          <border>
            <left style="thin">
              <color rgb="FF999999"/>
            </left>
            <right style="thin">
              <color rgb="FF999999"/>
            </right>
            <top style="thin">
              <color rgb="FF999999"/>
            </top>
            <bottom style="thin">
              <color rgb="FF999999"/>
            </bottom>
            <vertical/>
            <horizontal/>
          </border>
        </dxf>
        <dxf>
          <font>
            <color rgb="FF959595"/>
          </font>
          <fill>
            <patternFill patternType="solid">
              <fgColor theme="0"/>
              <bgColor theme="0"/>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theme="0"/>
              <bgColor theme="0"/>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 Style 1"/>
        <x14:slicerStyle name="Slicer Style 2"/>
        <x14:slicerStyle name="Slicer Style 3"/>
        <x14:slicerStyle name="Slicer Style 4"/>
        <x14:slicerStyle name="SlicerStyleOther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pivotCacheDefinition" Target="pivotCache/pivotCacheDefinition1.xml"/><Relationship Id="rId19"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10.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11.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2.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3.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 2 Analyzer.xlsx]Pivot Table!Month</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MONTHWISE SALES TREND</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3"/>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6"/>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7"/>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8"/>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9"/>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1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11"/>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1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13"/>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s>
    <c:plotArea>
      <c:layout/>
      <c:lineChart>
        <c:grouping val="stacked"/>
        <c:varyColors val="0"/>
        <c:ser>
          <c:idx val="0"/>
          <c:order val="0"/>
          <c:tx>
            <c:strRef>
              <c:f>'Pivot Table'!$J$5</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Table'!$I$6:$I$18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Table'!$J$6:$J$18</c:f>
              <c:numCache>
                <c:formatCode>General</c:formatCode>
                <c:ptCount val="12"/>
                <c:pt idx="0">
                  <c:v>14914.650000000001</c:v>
                </c:pt>
                <c:pt idx="1">
                  <c:v>14006.359999999999</c:v>
                </c:pt>
                <c:pt idx="2">
                  <c:v>17655.219999999998</c:v>
                </c:pt>
                <c:pt idx="3">
                  <c:v>22242.129999999997</c:v>
                </c:pt>
                <c:pt idx="4">
                  <c:v>18507.339999999997</c:v>
                </c:pt>
                <c:pt idx="5">
                  <c:v>20187.509999999998</c:v>
                </c:pt>
                <c:pt idx="6">
                  <c:v>11609.039999999999</c:v>
                </c:pt>
                <c:pt idx="7">
                  <c:v>10091.699999999999</c:v>
                </c:pt>
                <c:pt idx="8">
                  <c:v>20533.499999999996</c:v>
                </c:pt>
                <c:pt idx="9">
                  <c:v>14215.240000000002</c:v>
                </c:pt>
                <c:pt idx="10">
                  <c:v>20135.030000000002</c:v>
                </c:pt>
                <c:pt idx="11">
                  <c:v>11120.04</c:v>
                </c:pt>
              </c:numCache>
            </c:numRef>
          </c:val>
          <c:smooth val="0"/>
          <c:extLst>
            <c:ext xmlns:c16="http://schemas.microsoft.com/office/drawing/2014/chart" uri="{C3380CC4-5D6E-409C-BE32-E72D297353CC}">
              <c16:uniqueId val="{00000000-A0C7-4597-ADDB-84464D271A5A}"/>
            </c:ext>
          </c:extLst>
        </c:ser>
        <c:dLbls>
          <c:dLblPos val="ctr"/>
          <c:showLegendKey val="0"/>
          <c:showVal val="0"/>
          <c:showCatName val="0"/>
          <c:showSerName val="0"/>
          <c:showPercent val="0"/>
          <c:showBubbleSize val="0"/>
        </c:dLbls>
        <c:marker val="1"/>
        <c:smooth val="0"/>
        <c:axId val="796823903"/>
        <c:axId val="796845023"/>
      </c:lineChart>
      <c:catAx>
        <c:axId val="796823903"/>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96845023"/>
        <c:crosses val="autoZero"/>
        <c:auto val="1"/>
        <c:lblAlgn val="ctr"/>
        <c:lblOffset val="100"/>
        <c:noMultiLvlLbl val="0"/>
      </c:catAx>
      <c:valAx>
        <c:axId val="796845023"/>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96823903"/>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ln>
                  <a:noFill/>
                </a:ln>
                <a:solidFill>
                  <a:schemeClr val="lt1">
                    <a:lumMod val="85000"/>
                  </a:schemeClr>
                </a:solidFill>
                <a:latin typeface="+mn-lt"/>
                <a:ea typeface="+mn-ea"/>
                <a:cs typeface="+mn-cs"/>
              </a:defRPr>
            </a:pPr>
            <a:endParaRPr lang="en-US"/>
          </a:p>
        </c:txPr>
      </c:dTable>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 2 Analyzer.xlsx]Pivot Table!Region</c:name>
    <c:fmtId val="1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 BY REGION</a:t>
            </a:r>
          </a:p>
        </c:rich>
      </c:tx>
      <c:layout>
        <c:manualLayout>
          <c:xMode val="edge"/>
          <c:yMode val="edge"/>
          <c:x val="0.3429929284918522"/>
          <c:y val="5.7679351842878653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dLbl>
          <c:idx val="0"/>
          <c:layout>
            <c:manualLayout>
              <c:x val="-2.7477700161194229E-17"/>
              <c:y val="-0.209331094658355"/>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4"/>
        <c:dLbl>
          <c:idx val="0"/>
          <c:layout>
            <c:manualLayout>
              <c:x val="-2.9976019184652278E-3"/>
              <c:y val="-0.24000798637179369"/>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5"/>
        <c:dLbl>
          <c:idx val="0"/>
          <c:layout>
            <c:manualLayout>
              <c:x val="-5.995203836930401E-3"/>
              <c:y val="-0.22434524011073495"/>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6"/>
        <c:dLbl>
          <c:idx val="0"/>
          <c:layout>
            <c:manualLayout>
              <c:x val="-5.9952038369304557E-3"/>
              <c:y val="-0.20838358870652302"/>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7"/>
        <c:dLbl>
          <c:idx val="0"/>
          <c:layout>
            <c:manualLayout>
              <c:x val="0"/>
              <c:y val="-0.21834320148425082"/>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Table'!$D$5</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Table'!$C$6:$C$11</c:f>
              <c:strCache>
                <c:ptCount val="5"/>
                <c:pt idx="0">
                  <c:v>Central</c:v>
                </c:pt>
                <c:pt idx="1">
                  <c:v>East</c:v>
                </c:pt>
                <c:pt idx="2">
                  <c:v>North</c:v>
                </c:pt>
                <c:pt idx="3">
                  <c:v>South</c:v>
                </c:pt>
                <c:pt idx="4">
                  <c:v>West</c:v>
                </c:pt>
              </c:strCache>
            </c:strRef>
          </c:cat>
          <c:val>
            <c:numRef>
              <c:f>'Pivot Table'!$D$6:$D$11</c:f>
              <c:numCache>
                <c:formatCode>General</c:formatCode>
                <c:ptCount val="5"/>
                <c:pt idx="0">
                  <c:v>43468.33</c:v>
                </c:pt>
                <c:pt idx="1">
                  <c:v>32441.64</c:v>
                </c:pt>
                <c:pt idx="2">
                  <c:v>34975.42</c:v>
                </c:pt>
                <c:pt idx="3">
                  <c:v>40248.79</c:v>
                </c:pt>
                <c:pt idx="4">
                  <c:v>44083.58</c:v>
                </c:pt>
              </c:numCache>
            </c:numRef>
          </c:val>
          <c:extLst>
            <c:ext xmlns:c16="http://schemas.microsoft.com/office/drawing/2014/chart" uri="{C3380CC4-5D6E-409C-BE32-E72D297353CC}">
              <c16:uniqueId val="{00000000-BC07-4F46-A338-806DDBA6654A}"/>
            </c:ext>
          </c:extLst>
        </c:ser>
        <c:dLbls>
          <c:dLblPos val="ctr"/>
          <c:showLegendKey val="0"/>
          <c:showVal val="1"/>
          <c:showCatName val="0"/>
          <c:showSerName val="0"/>
          <c:showPercent val="0"/>
          <c:showBubbleSize val="0"/>
        </c:dLbls>
        <c:gapWidth val="150"/>
        <c:overlap val="100"/>
        <c:axId val="1110691887"/>
        <c:axId val="1110699087"/>
      </c:barChart>
      <c:catAx>
        <c:axId val="1110691887"/>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10699087"/>
        <c:crosses val="autoZero"/>
        <c:auto val="1"/>
        <c:lblAlgn val="ctr"/>
        <c:lblOffset val="100"/>
        <c:noMultiLvlLbl val="0"/>
      </c:catAx>
      <c:valAx>
        <c:axId val="1110699087"/>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106918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 2 Analyzer.xlsx]Pivot Table!Category</c:name>
    <c:fmtId val="1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 WISE PRODUCT CATEGORY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glow rad="177800">
              <a:srgbClr val="3A3A3A">
                <a:alpha val="35000"/>
              </a:srgbClr>
            </a:glow>
            <a:outerShdw blurRad="57150" dist="19050" dir="5400000" sx="102000" sy="102000" algn="ctr" rotWithShape="0">
              <a:srgbClr val="000000">
                <a:alpha val="42000"/>
              </a:srgbClr>
            </a:outerShdw>
            <a:softEdge rad="38100"/>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glow rad="177800">
              <a:srgbClr val="3A3A3A">
                <a:alpha val="35000"/>
              </a:srgbClr>
            </a:glow>
            <a:outerShdw blurRad="57150" dist="19050" dir="5400000" sx="102000" sy="102000" algn="ctr" rotWithShape="0">
              <a:srgbClr val="000000">
                <a:alpha val="42000"/>
              </a:srgbClr>
            </a:outerShdw>
            <a:softEdge rad="38100"/>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glow rad="177800">
              <a:srgbClr val="3A3A3A">
                <a:alpha val="35000"/>
              </a:srgbClr>
            </a:glow>
            <a:outerShdw blurRad="57150" dist="19050" dir="5400000" sx="102000" sy="102000" algn="ctr" rotWithShape="0">
              <a:srgbClr val="000000">
                <a:alpha val="42000"/>
              </a:srgbClr>
            </a:outerShdw>
            <a:softEdge rad="38100"/>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glow rad="177800">
              <a:srgbClr val="3A3A3A">
                <a:alpha val="35000"/>
              </a:srgbClr>
            </a:glow>
            <a:outerShdw blurRad="57150" dist="19050" dir="5400000" sx="102000" sy="102000" algn="ctr" rotWithShape="0">
              <a:srgbClr val="000000">
                <a:alpha val="42000"/>
              </a:srgbClr>
            </a:outerShdw>
            <a:softEdge rad="38100"/>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glow rad="177800">
              <a:srgbClr val="3A3A3A">
                <a:alpha val="35000"/>
              </a:srgbClr>
            </a:glow>
            <a:outerShdw blurRad="57150" dist="19050" dir="5400000" sx="102000" sy="102000" algn="ctr" rotWithShape="0">
              <a:srgbClr val="000000">
                <a:alpha val="42000"/>
              </a:srgbClr>
            </a:outerShdw>
            <a:softEdge rad="38100"/>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glow rad="177800">
              <a:srgbClr val="3A3A3A">
                <a:alpha val="35000"/>
              </a:srgbClr>
            </a:glow>
            <a:outerShdw blurRad="57150" dist="19050" dir="5400000" sx="102000" sy="102000" algn="ctr" rotWithShape="0">
              <a:srgbClr val="000000">
                <a:alpha val="42000"/>
              </a:srgbClr>
            </a:outerShdw>
            <a:softEdge rad="38100"/>
          </a:effectLst>
        </c:spPr>
      </c:pivotFmt>
    </c:pivotFmts>
    <c:plotArea>
      <c:layout/>
      <c:pieChart>
        <c:varyColors val="1"/>
        <c:ser>
          <c:idx val="0"/>
          <c:order val="0"/>
          <c:tx>
            <c:strRef>
              <c:f>'Pivot Table'!$G$5</c:f>
              <c:strCache>
                <c:ptCount val="1"/>
                <c:pt idx="0">
                  <c:v>Total</c:v>
                </c:pt>
              </c:strCache>
            </c:strRef>
          </c:tx>
          <c:spPr>
            <a:effectLst>
              <a:glow rad="177800">
                <a:srgbClr val="3A3A3A">
                  <a:alpha val="35000"/>
                </a:srgbClr>
              </a:glow>
              <a:outerShdw blurRad="57150" dist="19050" dir="5400000" sx="102000" sy="102000" algn="ctr" rotWithShape="0">
                <a:srgbClr val="000000">
                  <a:alpha val="42000"/>
                </a:srgbClr>
              </a:outerShdw>
              <a:softEdge rad="38100"/>
            </a:effectLst>
          </c:spPr>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glow rad="177800">
                  <a:srgbClr val="3A3A3A">
                    <a:alpha val="35000"/>
                  </a:srgbClr>
                </a:glow>
                <a:outerShdw blurRad="57150" dist="19050" dir="5400000" sx="102000" sy="102000" algn="ctr" rotWithShape="0">
                  <a:srgbClr val="000000">
                    <a:alpha val="42000"/>
                  </a:srgbClr>
                </a:outerShdw>
                <a:softEdge rad="38100"/>
              </a:effectLst>
            </c:spPr>
            <c:extLst>
              <c:ext xmlns:c16="http://schemas.microsoft.com/office/drawing/2014/chart" uri="{C3380CC4-5D6E-409C-BE32-E72D297353CC}">
                <c16:uniqueId val="{00000001-EDCA-4A9F-B1B2-0C3B0D3DAB39}"/>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glow rad="177800">
                  <a:srgbClr val="3A3A3A">
                    <a:alpha val="35000"/>
                  </a:srgbClr>
                </a:glow>
                <a:outerShdw blurRad="57150" dist="19050" dir="5400000" sx="102000" sy="102000" algn="ctr" rotWithShape="0">
                  <a:srgbClr val="000000">
                    <a:alpha val="42000"/>
                  </a:srgbClr>
                </a:outerShdw>
                <a:softEdge rad="38100"/>
              </a:effectLst>
            </c:spPr>
            <c:extLst>
              <c:ext xmlns:c16="http://schemas.microsoft.com/office/drawing/2014/chart" uri="{C3380CC4-5D6E-409C-BE32-E72D297353CC}">
                <c16:uniqueId val="{00000003-EDCA-4A9F-B1B2-0C3B0D3DAB39}"/>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glow rad="177800">
                  <a:srgbClr val="3A3A3A">
                    <a:alpha val="35000"/>
                  </a:srgbClr>
                </a:glow>
                <a:outerShdw blurRad="57150" dist="19050" dir="5400000" sx="102000" sy="102000" algn="ctr" rotWithShape="0">
                  <a:srgbClr val="000000">
                    <a:alpha val="42000"/>
                  </a:srgbClr>
                </a:outerShdw>
                <a:softEdge rad="38100"/>
              </a:effectLst>
            </c:spPr>
            <c:extLst>
              <c:ext xmlns:c16="http://schemas.microsoft.com/office/drawing/2014/chart" uri="{C3380CC4-5D6E-409C-BE32-E72D297353CC}">
                <c16:uniqueId val="{00000005-EDCA-4A9F-B1B2-0C3B0D3DAB39}"/>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glow rad="177800">
                  <a:srgbClr val="3A3A3A">
                    <a:alpha val="35000"/>
                  </a:srgbClr>
                </a:glow>
                <a:outerShdw blurRad="57150" dist="19050" dir="5400000" sx="102000" sy="102000" algn="ctr" rotWithShape="0">
                  <a:srgbClr val="000000">
                    <a:alpha val="42000"/>
                  </a:srgbClr>
                </a:outerShdw>
                <a:softEdge rad="38100"/>
              </a:effectLst>
            </c:spPr>
            <c:extLst>
              <c:ext xmlns:c16="http://schemas.microsoft.com/office/drawing/2014/chart" uri="{C3380CC4-5D6E-409C-BE32-E72D297353CC}">
                <c16:uniqueId val="{00000007-EDCA-4A9F-B1B2-0C3B0D3DAB39}"/>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glow rad="177800">
                  <a:srgbClr val="3A3A3A">
                    <a:alpha val="35000"/>
                  </a:srgbClr>
                </a:glow>
                <a:outerShdw blurRad="57150" dist="19050" dir="5400000" sx="102000" sy="102000" algn="ctr" rotWithShape="0">
                  <a:srgbClr val="000000">
                    <a:alpha val="42000"/>
                  </a:srgbClr>
                </a:outerShdw>
                <a:softEdge rad="38100"/>
              </a:effectLst>
            </c:spPr>
            <c:extLst>
              <c:ext xmlns:c16="http://schemas.microsoft.com/office/drawing/2014/chart" uri="{C3380CC4-5D6E-409C-BE32-E72D297353CC}">
                <c16:uniqueId val="{00000009-EDCA-4A9F-B1B2-0C3B0D3DAB3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Table'!$F$6:$F$11</c:f>
              <c:strCache>
                <c:ptCount val="5"/>
                <c:pt idx="0">
                  <c:v>Books</c:v>
                </c:pt>
                <c:pt idx="1">
                  <c:v>Clothing</c:v>
                </c:pt>
                <c:pt idx="2">
                  <c:v>Electronics</c:v>
                </c:pt>
                <c:pt idx="3">
                  <c:v>Furniture</c:v>
                </c:pt>
                <c:pt idx="4">
                  <c:v>Office Supplies</c:v>
                </c:pt>
              </c:strCache>
            </c:strRef>
          </c:cat>
          <c:val>
            <c:numRef>
              <c:f>'Pivot Table'!$G$6:$G$11</c:f>
              <c:numCache>
                <c:formatCode>General</c:formatCode>
                <c:ptCount val="5"/>
                <c:pt idx="0">
                  <c:v>47002.460000000006</c:v>
                </c:pt>
                <c:pt idx="1">
                  <c:v>41927.589999999989</c:v>
                </c:pt>
                <c:pt idx="2">
                  <c:v>41044.000000000007</c:v>
                </c:pt>
                <c:pt idx="3">
                  <c:v>36612.89</c:v>
                </c:pt>
                <c:pt idx="4">
                  <c:v>28630.819999999992</c:v>
                </c:pt>
              </c:numCache>
            </c:numRef>
          </c:val>
          <c:extLst>
            <c:ext xmlns:c16="http://schemas.microsoft.com/office/drawing/2014/chart" uri="{C3380CC4-5D6E-409C-BE32-E72D297353CC}">
              <c16:uniqueId val="{0000000A-EDCA-4A9F-B1B2-0C3B0D3DAB39}"/>
            </c:ext>
          </c:extLst>
        </c:ser>
        <c:dLbls>
          <c:showLegendKey val="0"/>
          <c:showVal val="0"/>
          <c:showCatName val="0"/>
          <c:showSerName val="0"/>
          <c:showPercent val="1"/>
          <c:showBubbleSize val="0"/>
          <c:showLeaderLines val="1"/>
        </c:dLbls>
        <c:firstSliceAng val="10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 2 Analyzer.xlsx]Pivot Table!cat profit</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 BY PRODUCT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 Table'!$P$5</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Table'!$O$6:$O$11</c:f>
              <c:strCache>
                <c:ptCount val="5"/>
                <c:pt idx="0">
                  <c:v>Books</c:v>
                </c:pt>
                <c:pt idx="1">
                  <c:v>Clothing</c:v>
                </c:pt>
                <c:pt idx="2">
                  <c:v>Electronics</c:v>
                </c:pt>
                <c:pt idx="3">
                  <c:v>Furniture</c:v>
                </c:pt>
                <c:pt idx="4">
                  <c:v>Office Supplies</c:v>
                </c:pt>
              </c:strCache>
            </c:strRef>
          </c:cat>
          <c:val>
            <c:numRef>
              <c:f>'Pivot Table'!$P$6:$P$11</c:f>
              <c:numCache>
                <c:formatCode>General</c:formatCode>
                <c:ptCount val="5"/>
                <c:pt idx="0">
                  <c:v>16901.630000000005</c:v>
                </c:pt>
                <c:pt idx="1">
                  <c:v>18784.490000000002</c:v>
                </c:pt>
                <c:pt idx="2">
                  <c:v>9182.1500000000015</c:v>
                </c:pt>
                <c:pt idx="3">
                  <c:v>11579.140000000003</c:v>
                </c:pt>
                <c:pt idx="4">
                  <c:v>11839.599999999999</c:v>
                </c:pt>
              </c:numCache>
            </c:numRef>
          </c:val>
          <c:extLst>
            <c:ext xmlns:c16="http://schemas.microsoft.com/office/drawing/2014/chart" uri="{C3380CC4-5D6E-409C-BE32-E72D297353CC}">
              <c16:uniqueId val="{00000000-DAD4-41BF-978B-086B760937E6}"/>
            </c:ext>
          </c:extLst>
        </c:ser>
        <c:dLbls>
          <c:showLegendKey val="0"/>
          <c:showVal val="0"/>
          <c:showCatName val="0"/>
          <c:showSerName val="0"/>
          <c:showPercent val="0"/>
          <c:showBubbleSize val="0"/>
        </c:dLbls>
        <c:gapWidth val="150"/>
        <c:overlap val="100"/>
        <c:axId val="1110661167"/>
        <c:axId val="1110659247"/>
      </c:barChart>
      <c:catAx>
        <c:axId val="1110661167"/>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10659247"/>
        <c:crosses val="autoZero"/>
        <c:auto val="1"/>
        <c:lblAlgn val="ctr"/>
        <c:lblOffset val="100"/>
        <c:noMultiLvlLbl val="0"/>
      </c:catAx>
      <c:valAx>
        <c:axId val="1110659247"/>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106611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 2 Analyzer.xlsx]Pivot Table!Region</c:name>
    <c:fmtId val="2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REGIONWISE</a:t>
            </a:r>
            <a:r>
              <a:rPr lang="en-IN" baseline="0"/>
              <a:t> SALE</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doughnutChart>
        <c:varyColors val="1"/>
        <c:ser>
          <c:idx val="0"/>
          <c:order val="0"/>
          <c:tx>
            <c:strRef>
              <c:f>'Pivot Table'!$D$5</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4334-4955-8C39-398A888E52EA}"/>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4334-4955-8C39-398A888E52EA}"/>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4334-4955-8C39-398A888E52EA}"/>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4334-4955-8C39-398A888E52EA}"/>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4334-4955-8C39-398A888E52E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Table'!$C$6:$C$11</c:f>
              <c:strCache>
                <c:ptCount val="5"/>
                <c:pt idx="0">
                  <c:v>Central</c:v>
                </c:pt>
                <c:pt idx="1">
                  <c:v>East</c:v>
                </c:pt>
                <c:pt idx="2">
                  <c:v>North</c:v>
                </c:pt>
                <c:pt idx="3">
                  <c:v>South</c:v>
                </c:pt>
                <c:pt idx="4">
                  <c:v>West</c:v>
                </c:pt>
              </c:strCache>
            </c:strRef>
          </c:cat>
          <c:val>
            <c:numRef>
              <c:f>'Pivot Table'!$D$6:$D$11</c:f>
              <c:numCache>
                <c:formatCode>General</c:formatCode>
                <c:ptCount val="5"/>
                <c:pt idx="0">
                  <c:v>43468.33</c:v>
                </c:pt>
                <c:pt idx="1">
                  <c:v>32441.64</c:v>
                </c:pt>
                <c:pt idx="2">
                  <c:v>34975.42</c:v>
                </c:pt>
                <c:pt idx="3">
                  <c:v>40248.79</c:v>
                </c:pt>
                <c:pt idx="4">
                  <c:v>44083.58</c:v>
                </c:pt>
              </c:numCache>
            </c:numRef>
          </c:val>
          <c:extLst>
            <c:ext xmlns:c16="http://schemas.microsoft.com/office/drawing/2014/chart" uri="{C3380CC4-5D6E-409C-BE32-E72D297353CC}">
              <c16:uniqueId val="{0000000A-4334-4955-8C39-398A888E52EA}"/>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solidFill>
        <a:schemeClr val="accent1">
          <a:shade val="15000"/>
          <a:alpha val="82000"/>
        </a:schemeClr>
      </a:solidFill>
    </a:ln>
    <a:effectLst>
      <a:glow>
        <a:schemeClr val="accent1">
          <a:alpha val="40000"/>
        </a:schemeClr>
      </a:glow>
      <a:outerShdw blurRad="12700" dir="5400000" algn="ctr" rotWithShape="0">
        <a:srgbClr val="000000">
          <a:alpha val="43137"/>
        </a:srgbClr>
      </a:outerShdw>
      <a:softEdge rad="127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 2 Analyzer.xlsx]Pivot Table!name</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 BY CUSTOMER</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 Table'!$M$5</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Table'!$L$6:$L$33</c:f>
              <c:strCache>
                <c:ptCount val="27"/>
                <c:pt idx="0">
                  <c:v>David Anderson</c:v>
                </c:pt>
                <c:pt idx="1">
                  <c:v>David Brown</c:v>
                </c:pt>
                <c:pt idx="2">
                  <c:v>David Davis</c:v>
                </c:pt>
                <c:pt idx="3">
                  <c:v>David Smith</c:v>
                </c:pt>
                <c:pt idx="4">
                  <c:v>David Thomas</c:v>
                </c:pt>
                <c:pt idx="5">
                  <c:v>Emma Davis</c:v>
                </c:pt>
                <c:pt idx="6">
                  <c:v>Emma Taylor</c:v>
                </c:pt>
                <c:pt idx="7">
                  <c:v>Emma Wilson</c:v>
                </c:pt>
                <c:pt idx="8">
                  <c:v>James Davis</c:v>
                </c:pt>
                <c:pt idx="9">
                  <c:v>James Taylor</c:v>
                </c:pt>
                <c:pt idx="10">
                  <c:v>James Wilson</c:v>
                </c:pt>
                <c:pt idx="11">
                  <c:v>John Brown</c:v>
                </c:pt>
                <c:pt idx="12">
                  <c:v>Linda Brown</c:v>
                </c:pt>
                <c:pt idx="13">
                  <c:v>Linda Davis</c:v>
                </c:pt>
                <c:pt idx="14">
                  <c:v>Linda Jackson</c:v>
                </c:pt>
                <c:pt idx="15">
                  <c:v>Linda Moore</c:v>
                </c:pt>
                <c:pt idx="16">
                  <c:v>Linda Taylor</c:v>
                </c:pt>
                <c:pt idx="17">
                  <c:v>Linda Wilson</c:v>
                </c:pt>
                <c:pt idx="18">
                  <c:v>Lisa Davis</c:v>
                </c:pt>
                <c:pt idx="19">
                  <c:v>Lisa Thomas</c:v>
                </c:pt>
                <c:pt idx="20">
                  <c:v>Mary Davis</c:v>
                </c:pt>
                <c:pt idx="21">
                  <c:v>Mary Jackson</c:v>
                </c:pt>
                <c:pt idx="22">
                  <c:v>Mary Wilson</c:v>
                </c:pt>
                <c:pt idx="23">
                  <c:v>Michael Anderson</c:v>
                </c:pt>
                <c:pt idx="24">
                  <c:v>Robert Anderson</c:v>
                </c:pt>
                <c:pt idx="25">
                  <c:v>Sarah Anderson</c:v>
                </c:pt>
                <c:pt idx="26">
                  <c:v>Sarah Davis</c:v>
                </c:pt>
              </c:strCache>
            </c:strRef>
          </c:cat>
          <c:val>
            <c:numRef>
              <c:f>'Pivot Table'!$M$6:$M$33</c:f>
              <c:numCache>
                <c:formatCode>General</c:formatCode>
                <c:ptCount val="27"/>
                <c:pt idx="0">
                  <c:v>5465.71</c:v>
                </c:pt>
                <c:pt idx="1">
                  <c:v>11915.829999999998</c:v>
                </c:pt>
                <c:pt idx="2">
                  <c:v>3819.1400000000003</c:v>
                </c:pt>
                <c:pt idx="3">
                  <c:v>1672.88</c:v>
                </c:pt>
                <c:pt idx="4">
                  <c:v>7020.3799999999992</c:v>
                </c:pt>
                <c:pt idx="5">
                  <c:v>11398.32</c:v>
                </c:pt>
                <c:pt idx="6">
                  <c:v>5014.96</c:v>
                </c:pt>
                <c:pt idx="7">
                  <c:v>8543.9699999999993</c:v>
                </c:pt>
                <c:pt idx="8">
                  <c:v>6255.7</c:v>
                </c:pt>
                <c:pt idx="9">
                  <c:v>5615.2800000000007</c:v>
                </c:pt>
                <c:pt idx="10">
                  <c:v>20774.739999999998</c:v>
                </c:pt>
                <c:pt idx="11">
                  <c:v>1450.99</c:v>
                </c:pt>
                <c:pt idx="12">
                  <c:v>5801.29</c:v>
                </c:pt>
                <c:pt idx="13">
                  <c:v>856.7</c:v>
                </c:pt>
                <c:pt idx="14">
                  <c:v>3968.59</c:v>
                </c:pt>
                <c:pt idx="15">
                  <c:v>2304.9</c:v>
                </c:pt>
                <c:pt idx="16">
                  <c:v>7522.77</c:v>
                </c:pt>
                <c:pt idx="17">
                  <c:v>9970.1999999999989</c:v>
                </c:pt>
                <c:pt idx="18">
                  <c:v>8090.12</c:v>
                </c:pt>
                <c:pt idx="19">
                  <c:v>8635.9500000000007</c:v>
                </c:pt>
                <c:pt idx="20">
                  <c:v>17143.289999999997</c:v>
                </c:pt>
                <c:pt idx="21">
                  <c:v>7251.18</c:v>
                </c:pt>
                <c:pt idx="22">
                  <c:v>5443.34</c:v>
                </c:pt>
                <c:pt idx="23">
                  <c:v>7881.9</c:v>
                </c:pt>
                <c:pt idx="24">
                  <c:v>8331.8499999999985</c:v>
                </c:pt>
                <c:pt idx="25">
                  <c:v>7296.1900000000005</c:v>
                </c:pt>
                <c:pt idx="26">
                  <c:v>5771.59</c:v>
                </c:pt>
              </c:numCache>
            </c:numRef>
          </c:val>
          <c:extLst>
            <c:ext xmlns:c16="http://schemas.microsoft.com/office/drawing/2014/chart" uri="{C3380CC4-5D6E-409C-BE32-E72D297353CC}">
              <c16:uniqueId val="{00000000-0FDD-41B1-90AB-1889CFD1FA25}"/>
            </c:ext>
          </c:extLst>
        </c:ser>
        <c:dLbls>
          <c:showLegendKey val="0"/>
          <c:showVal val="0"/>
          <c:showCatName val="0"/>
          <c:showSerName val="0"/>
          <c:showPercent val="0"/>
          <c:showBubbleSize val="0"/>
        </c:dLbls>
        <c:gapWidth val="150"/>
        <c:overlap val="100"/>
        <c:axId val="1834246351"/>
        <c:axId val="1834246831"/>
      </c:barChart>
      <c:catAx>
        <c:axId val="1834246351"/>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34246831"/>
        <c:crosses val="autoZero"/>
        <c:auto val="1"/>
        <c:lblAlgn val="ctr"/>
        <c:lblOffset val="100"/>
        <c:noMultiLvlLbl val="0"/>
      </c:catAx>
      <c:valAx>
        <c:axId val="1834246831"/>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342463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IN"/>
              <a:t>1036.09  Residual Plot</a:t>
            </a:r>
          </a:p>
        </c:rich>
      </c:tx>
      <c:overlay val="0"/>
    </c:title>
    <c:autoTitleDeleted val="0"/>
    <c:plotArea>
      <c:layout/>
      <c:scatterChart>
        <c:scatterStyle val="lineMarker"/>
        <c:varyColors val="0"/>
        <c:ser>
          <c:idx val="0"/>
          <c:order val="0"/>
          <c:spPr>
            <a:ln w="19050">
              <a:noFill/>
            </a:ln>
          </c:spPr>
          <c:xVal>
            <c:numRef>
              <c:f>Dataset!$E$3:$E$201</c:f>
              <c:numCache>
                <c:formatCode>General</c:formatCode>
                <c:ptCount val="199"/>
                <c:pt idx="0">
                  <c:v>1101.28</c:v>
                </c:pt>
                <c:pt idx="1">
                  <c:v>713.34</c:v>
                </c:pt>
                <c:pt idx="2">
                  <c:v>760.93</c:v>
                </c:pt>
                <c:pt idx="3">
                  <c:v>847</c:v>
                </c:pt>
                <c:pt idx="4">
                  <c:v>965.64</c:v>
                </c:pt>
                <c:pt idx="5">
                  <c:v>1317.53</c:v>
                </c:pt>
                <c:pt idx="6">
                  <c:v>1074.47</c:v>
                </c:pt>
                <c:pt idx="7">
                  <c:v>501.54</c:v>
                </c:pt>
                <c:pt idx="8">
                  <c:v>737.31</c:v>
                </c:pt>
                <c:pt idx="9">
                  <c:v>1572.82</c:v>
                </c:pt>
                <c:pt idx="10">
                  <c:v>1343.13</c:v>
                </c:pt>
                <c:pt idx="11">
                  <c:v>1191.58</c:v>
                </c:pt>
                <c:pt idx="12">
                  <c:v>822.28</c:v>
                </c:pt>
                <c:pt idx="13">
                  <c:v>521.66999999999996</c:v>
                </c:pt>
                <c:pt idx="14">
                  <c:v>1502.93</c:v>
                </c:pt>
                <c:pt idx="15">
                  <c:v>877.58</c:v>
                </c:pt>
                <c:pt idx="16">
                  <c:v>636.70000000000005</c:v>
                </c:pt>
                <c:pt idx="17">
                  <c:v>1506.14</c:v>
                </c:pt>
                <c:pt idx="18">
                  <c:v>645.02</c:v>
                </c:pt>
                <c:pt idx="19">
                  <c:v>953.3</c:v>
                </c:pt>
                <c:pt idx="20">
                  <c:v>388.56</c:v>
                </c:pt>
                <c:pt idx="21">
                  <c:v>743.17</c:v>
                </c:pt>
                <c:pt idx="22">
                  <c:v>706.37</c:v>
                </c:pt>
                <c:pt idx="23">
                  <c:v>925.31</c:v>
                </c:pt>
                <c:pt idx="24">
                  <c:v>1173.1199999999999</c:v>
                </c:pt>
                <c:pt idx="25">
                  <c:v>675.54</c:v>
                </c:pt>
                <c:pt idx="26">
                  <c:v>939.09</c:v>
                </c:pt>
                <c:pt idx="27">
                  <c:v>983.34</c:v>
                </c:pt>
                <c:pt idx="28">
                  <c:v>801.21</c:v>
                </c:pt>
                <c:pt idx="29">
                  <c:v>1450.71</c:v>
                </c:pt>
                <c:pt idx="30">
                  <c:v>1023.21</c:v>
                </c:pt>
                <c:pt idx="31">
                  <c:v>853.72</c:v>
                </c:pt>
                <c:pt idx="32">
                  <c:v>967.89</c:v>
                </c:pt>
                <c:pt idx="33">
                  <c:v>1200.9000000000001</c:v>
                </c:pt>
                <c:pt idx="34">
                  <c:v>472.38</c:v>
                </c:pt>
                <c:pt idx="35">
                  <c:v>840.92</c:v>
                </c:pt>
                <c:pt idx="36">
                  <c:v>1410.06</c:v>
                </c:pt>
                <c:pt idx="37">
                  <c:v>773.09</c:v>
                </c:pt>
                <c:pt idx="38">
                  <c:v>580.42999999999995</c:v>
                </c:pt>
                <c:pt idx="39">
                  <c:v>1151.21</c:v>
                </c:pt>
                <c:pt idx="40">
                  <c:v>1025.98</c:v>
                </c:pt>
                <c:pt idx="41">
                  <c:v>556.41999999999996</c:v>
                </c:pt>
                <c:pt idx="42">
                  <c:v>840.85</c:v>
                </c:pt>
                <c:pt idx="43">
                  <c:v>1227.25</c:v>
                </c:pt>
                <c:pt idx="44">
                  <c:v>856.7</c:v>
                </c:pt>
                <c:pt idx="45">
                  <c:v>1225.42</c:v>
                </c:pt>
                <c:pt idx="46">
                  <c:v>1001.57</c:v>
                </c:pt>
                <c:pt idx="47">
                  <c:v>1186.8499999999999</c:v>
                </c:pt>
                <c:pt idx="48">
                  <c:v>775.45</c:v>
                </c:pt>
                <c:pt idx="49">
                  <c:v>1021.47</c:v>
                </c:pt>
                <c:pt idx="50">
                  <c:v>1226.6199999999999</c:v>
                </c:pt>
                <c:pt idx="51">
                  <c:v>1086.93</c:v>
                </c:pt>
                <c:pt idx="52">
                  <c:v>942.9</c:v>
                </c:pt>
                <c:pt idx="53">
                  <c:v>818.8</c:v>
                </c:pt>
                <c:pt idx="54">
                  <c:v>919.04</c:v>
                </c:pt>
                <c:pt idx="55">
                  <c:v>973.26</c:v>
                </c:pt>
                <c:pt idx="56">
                  <c:v>741.61</c:v>
                </c:pt>
                <c:pt idx="57">
                  <c:v>1248.82</c:v>
                </c:pt>
                <c:pt idx="58">
                  <c:v>1360.36</c:v>
                </c:pt>
                <c:pt idx="59">
                  <c:v>1383.3</c:v>
                </c:pt>
                <c:pt idx="60">
                  <c:v>488.99</c:v>
                </c:pt>
                <c:pt idx="61">
                  <c:v>933.71</c:v>
                </c:pt>
                <c:pt idx="62">
                  <c:v>1005.53</c:v>
                </c:pt>
                <c:pt idx="63">
                  <c:v>1100.0999999999999</c:v>
                </c:pt>
                <c:pt idx="64">
                  <c:v>1034.7</c:v>
                </c:pt>
                <c:pt idx="65">
                  <c:v>876.44</c:v>
                </c:pt>
                <c:pt idx="66">
                  <c:v>1371.34</c:v>
                </c:pt>
                <c:pt idx="67">
                  <c:v>1020.26</c:v>
                </c:pt>
                <c:pt idx="68">
                  <c:v>804.81</c:v>
                </c:pt>
                <c:pt idx="69">
                  <c:v>608.66</c:v>
                </c:pt>
                <c:pt idx="70">
                  <c:v>981.2</c:v>
                </c:pt>
                <c:pt idx="71">
                  <c:v>539.77</c:v>
                </c:pt>
                <c:pt idx="72">
                  <c:v>804.45</c:v>
                </c:pt>
                <c:pt idx="73">
                  <c:v>1526.6</c:v>
                </c:pt>
                <c:pt idx="74">
                  <c:v>1215.26</c:v>
                </c:pt>
                <c:pt idx="75">
                  <c:v>1261.3399999999999</c:v>
                </c:pt>
                <c:pt idx="76">
                  <c:v>518.07000000000005</c:v>
                </c:pt>
                <c:pt idx="77">
                  <c:v>1111.3399999999999</c:v>
                </c:pt>
                <c:pt idx="78">
                  <c:v>1291.47</c:v>
                </c:pt>
                <c:pt idx="79">
                  <c:v>679.71</c:v>
                </c:pt>
                <c:pt idx="80">
                  <c:v>1143.69</c:v>
                </c:pt>
                <c:pt idx="81">
                  <c:v>790.08</c:v>
                </c:pt>
                <c:pt idx="82">
                  <c:v>1070.68</c:v>
                </c:pt>
                <c:pt idx="83">
                  <c:v>1168.8900000000001</c:v>
                </c:pt>
                <c:pt idx="84">
                  <c:v>1335.87</c:v>
                </c:pt>
                <c:pt idx="85">
                  <c:v>873.7</c:v>
                </c:pt>
                <c:pt idx="86">
                  <c:v>1443.98</c:v>
                </c:pt>
                <c:pt idx="87">
                  <c:v>1154.33</c:v>
                </c:pt>
                <c:pt idx="88">
                  <c:v>1264.49</c:v>
                </c:pt>
                <c:pt idx="89">
                  <c:v>1101.55</c:v>
                </c:pt>
                <c:pt idx="90">
                  <c:v>727.73</c:v>
                </c:pt>
                <c:pt idx="91">
                  <c:v>875.41</c:v>
                </c:pt>
                <c:pt idx="92">
                  <c:v>1158.94</c:v>
                </c:pt>
                <c:pt idx="93">
                  <c:v>966.3</c:v>
                </c:pt>
                <c:pt idx="94">
                  <c:v>917.48</c:v>
                </c:pt>
                <c:pt idx="95">
                  <c:v>1172.97</c:v>
                </c:pt>
                <c:pt idx="96">
                  <c:v>1205.82</c:v>
                </c:pt>
                <c:pt idx="97">
                  <c:v>826.93</c:v>
                </c:pt>
                <c:pt idx="98">
                  <c:v>902.19</c:v>
                </c:pt>
                <c:pt idx="99">
                  <c:v>585.97</c:v>
                </c:pt>
                <c:pt idx="100">
                  <c:v>990.19</c:v>
                </c:pt>
                <c:pt idx="101">
                  <c:v>1014.09</c:v>
                </c:pt>
                <c:pt idx="102">
                  <c:v>925.29</c:v>
                </c:pt>
                <c:pt idx="103">
                  <c:v>1286.54</c:v>
                </c:pt>
                <c:pt idx="104">
                  <c:v>961.62</c:v>
                </c:pt>
                <c:pt idx="105">
                  <c:v>1081.1400000000001</c:v>
                </c:pt>
                <c:pt idx="106">
                  <c:v>1923.66</c:v>
                </c:pt>
                <c:pt idx="107">
                  <c:v>728.71</c:v>
                </c:pt>
                <c:pt idx="108">
                  <c:v>1301.8900000000001</c:v>
                </c:pt>
                <c:pt idx="109">
                  <c:v>980.18</c:v>
                </c:pt>
                <c:pt idx="110">
                  <c:v>697.57</c:v>
                </c:pt>
                <c:pt idx="111">
                  <c:v>1193.6099999999999</c:v>
                </c:pt>
                <c:pt idx="112">
                  <c:v>771.02</c:v>
                </c:pt>
                <c:pt idx="113">
                  <c:v>661.09</c:v>
                </c:pt>
                <c:pt idx="114">
                  <c:v>688.83</c:v>
                </c:pt>
                <c:pt idx="115">
                  <c:v>1249.0999999999999</c:v>
                </c:pt>
                <c:pt idx="116">
                  <c:v>1014.22</c:v>
                </c:pt>
                <c:pt idx="117">
                  <c:v>1010.58</c:v>
                </c:pt>
                <c:pt idx="118">
                  <c:v>957.29</c:v>
                </c:pt>
                <c:pt idx="119">
                  <c:v>1077.92</c:v>
                </c:pt>
                <c:pt idx="120">
                  <c:v>1163.01</c:v>
                </c:pt>
                <c:pt idx="121">
                  <c:v>1014.56</c:v>
                </c:pt>
                <c:pt idx="122">
                  <c:v>718.04</c:v>
                </c:pt>
                <c:pt idx="123">
                  <c:v>1277.8499999999999</c:v>
                </c:pt>
                <c:pt idx="124">
                  <c:v>706.73</c:v>
                </c:pt>
                <c:pt idx="125">
                  <c:v>1410.59</c:v>
                </c:pt>
                <c:pt idx="126">
                  <c:v>1350.33</c:v>
                </c:pt>
                <c:pt idx="127">
                  <c:v>919.18</c:v>
                </c:pt>
                <c:pt idx="128">
                  <c:v>258.51</c:v>
                </c:pt>
                <c:pt idx="129">
                  <c:v>1213.48</c:v>
                </c:pt>
                <c:pt idx="130">
                  <c:v>1150.28</c:v>
                </c:pt>
                <c:pt idx="131">
                  <c:v>853.86</c:v>
                </c:pt>
                <c:pt idx="132">
                  <c:v>1061.04</c:v>
                </c:pt>
                <c:pt idx="133">
                  <c:v>894.55</c:v>
                </c:pt>
                <c:pt idx="134">
                  <c:v>833.91</c:v>
                </c:pt>
                <c:pt idx="135">
                  <c:v>820.19</c:v>
                </c:pt>
                <c:pt idx="136">
                  <c:v>511.74</c:v>
                </c:pt>
                <c:pt idx="137">
                  <c:v>806.03</c:v>
                </c:pt>
                <c:pt idx="138">
                  <c:v>1432.47</c:v>
                </c:pt>
                <c:pt idx="139">
                  <c:v>1488.58</c:v>
                </c:pt>
                <c:pt idx="140">
                  <c:v>1231.26</c:v>
                </c:pt>
                <c:pt idx="141">
                  <c:v>1161.67</c:v>
                </c:pt>
                <c:pt idx="142">
                  <c:v>388.23</c:v>
                </c:pt>
                <c:pt idx="143">
                  <c:v>1589.42</c:v>
                </c:pt>
                <c:pt idx="144">
                  <c:v>336.66</c:v>
                </c:pt>
                <c:pt idx="145">
                  <c:v>1353.79</c:v>
                </c:pt>
                <c:pt idx="146">
                  <c:v>662.61</c:v>
                </c:pt>
                <c:pt idx="147">
                  <c:v>309.42</c:v>
                </c:pt>
                <c:pt idx="148">
                  <c:v>884.63</c:v>
                </c:pt>
                <c:pt idx="149">
                  <c:v>745.05</c:v>
                </c:pt>
                <c:pt idx="150">
                  <c:v>870.23</c:v>
                </c:pt>
                <c:pt idx="151">
                  <c:v>862.19</c:v>
                </c:pt>
                <c:pt idx="152">
                  <c:v>1171.18</c:v>
                </c:pt>
                <c:pt idx="153">
                  <c:v>1054.56</c:v>
                </c:pt>
                <c:pt idx="154">
                  <c:v>1681.21</c:v>
                </c:pt>
                <c:pt idx="155">
                  <c:v>379.77</c:v>
                </c:pt>
                <c:pt idx="156">
                  <c:v>1076.33</c:v>
                </c:pt>
                <c:pt idx="157">
                  <c:v>1250.71</c:v>
                </c:pt>
                <c:pt idx="158">
                  <c:v>1118.3399999999999</c:v>
                </c:pt>
                <c:pt idx="159">
                  <c:v>1622.62</c:v>
                </c:pt>
                <c:pt idx="160">
                  <c:v>640.64</c:v>
                </c:pt>
                <c:pt idx="161">
                  <c:v>585.16</c:v>
                </c:pt>
                <c:pt idx="162">
                  <c:v>1109.98</c:v>
                </c:pt>
                <c:pt idx="163">
                  <c:v>1098.08</c:v>
                </c:pt>
                <c:pt idx="164">
                  <c:v>827.25</c:v>
                </c:pt>
                <c:pt idx="165">
                  <c:v>741.88</c:v>
                </c:pt>
                <c:pt idx="166">
                  <c:v>1311.26</c:v>
                </c:pt>
                <c:pt idx="167">
                  <c:v>573.32000000000005</c:v>
                </c:pt>
                <c:pt idx="168">
                  <c:v>1115.22</c:v>
                </c:pt>
                <c:pt idx="169">
                  <c:v>845.84</c:v>
                </c:pt>
                <c:pt idx="170">
                  <c:v>1029.8</c:v>
                </c:pt>
                <c:pt idx="171">
                  <c:v>1189.83</c:v>
                </c:pt>
                <c:pt idx="172">
                  <c:v>704.28</c:v>
                </c:pt>
                <c:pt idx="173">
                  <c:v>1618.22</c:v>
                </c:pt>
                <c:pt idx="174">
                  <c:v>1014.43</c:v>
                </c:pt>
                <c:pt idx="175">
                  <c:v>826.97</c:v>
                </c:pt>
                <c:pt idx="176">
                  <c:v>1022.23</c:v>
                </c:pt>
                <c:pt idx="177">
                  <c:v>1099.69</c:v>
                </c:pt>
                <c:pt idx="178">
                  <c:v>710.52</c:v>
                </c:pt>
                <c:pt idx="179">
                  <c:v>499.18</c:v>
                </c:pt>
                <c:pt idx="180">
                  <c:v>1064.19</c:v>
                </c:pt>
                <c:pt idx="181">
                  <c:v>438.76</c:v>
                </c:pt>
                <c:pt idx="182">
                  <c:v>864.98</c:v>
                </c:pt>
                <c:pt idx="183">
                  <c:v>984.93</c:v>
                </c:pt>
                <c:pt idx="184">
                  <c:v>1493.49</c:v>
                </c:pt>
                <c:pt idx="185">
                  <c:v>689.43</c:v>
                </c:pt>
                <c:pt idx="186">
                  <c:v>682.24</c:v>
                </c:pt>
                <c:pt idx="187">
                  <c:v>458.54</c:v>
                </c:pt>
                <c:pt idx="188">
                  <c:v>1184.25</c:v>
                </c:pt>
                <c:pt idx="189">
                  <c:v>762.14</c:v>
                </c:pt>
                <c:pt idx="190">
                  <c:v>750.71</c:v>
                </c:pt>
                <c:pt idx="191">
                  <c:v>1456.94</c:v>
                </c:pt>
                <c:pt idx="192">
                  <c:v>1093.3800000000001</c:v>
                </c:pt>
                <c:pt idx="193">
                  <c:v>934.27</c:v>
                </c:pt>
                <c:pt idx="194">
                  <c:v>1465.35</c:v>
                </c:pt>
                <c:pt idx="195">
                  <c:v>740.8</c:v>
                </c:pt>
                <c:pt idx="196">
                  <c:v>545.44000000000005</c:v>
                </c:pt>
                <c:pt idx="197">
                  <c:v>997.61</c:v>
                </c:pt>
                <c:pt idx="198">
                  <c:v>928.32</c:v>
                </c:pt>
              </c:numCache>
            </c:numRef>
          </c:xVal>
          <c:yVal>
            <c:numRef>
              <c:f>'Linear Regression'!$C$6:$C$204</c:f>
              <c:numCache>
                <c:formatCode>0.00</c:formatCode>
                <c:ptCount val="199"/>
                <c:pt idx="0">
                  <c:v>54.98226835956774</c:v>
                </c:pt>
                <c:pt idx="1">
                  <c:v>35.963954353279235</c:v>
                </c:pt>
                <c:pt idx="2">
                  <c:v>-104.3782643827127</c:v>
                </c:pt>
                <c:pt idx="3">
                  <c:v>-25.245450064722149</c:v>
                </c:pt>
                <c:pt idx="4">
                  <c:v>-33.743425077079564</c:v>
                </c:pt>
                <c:pt idx="5">
                  <c:v>-148.51297857588651</c:v>
                </c:pt>
                <c:pt idx="6">
                  <c:v>-75.268475823833285</c:v>
                </c:pt>
                <c:pt idx="7">
                  <c:v>15.54742626509065</c:v>
                </c:pt>
                <c:pt idx="8">
                  <c:v>92.431426866376</c:v>
                </c:pt>
                <c:pt idx="9">
                  <c:v>121.36026956213834</c:v>
                </c:pt>
                <c:pt idx="10">
                  <c:v>-13.747571970326419</c:v>
                </c:pt>
                <c:pt idx="11">
                  <c:v>35.580519003398877</c:v>
                </c:pt>
                <c:pt idx="12">
                  <c:v>-14.199702068216141</c:v>
                </c:pt>
                <c:pt idx="13">
                  <c:v>-26.907412212646648</c:v>
                </c:pt>
                <c:pt idx="14">
                  <c:v>-225.90108854968179</c:v>
                </c:pt>
                <c:pt idx="15">
                  <c:v>-8.6378276429242078</c:v>
                </c:pt>
                <c:pt idx="16">
                  <c:v>-18.738419172116267</c:v>
                </c:pt>
                <c:pt idx="17">
                  <c:v>-45.657672330781509</c:v>
                </c:pt>
                <c:pt idx="18">
                  <c:v>-64.138412025309236</c:v>
                </c:pt>
                <c:pt idx="19">
                  <c:v>143.05742970758399</c:v>
                </c:pt>
                <c:pt idx="20">
                  <c:v>-52.821036168353885</c:v>
                </c:pt>
                <c:pt idx="21">
                  <c:v>37.424797284679983</c:v>
                </c:pt>
                <c:pt idx="22">
                  <c:v>-70.339849710812672</c:v>
                </c:pt>
                <c:pt idx="23">
                  <c:v>50.980819125957964</c:v>
                </c:pt>
                <c:pt idx="24">
                  <c:v>-117.46074685357922</c:v>
                </c:pt>
                <c:pt idx="25">
                  <c:v>0.33026803725695686</c:v>
                </c:pt>
                <c:pt idx="26">
                  <c:v>28.244580962857128</c:v>
                </c:pt>
                <c:pt idx="27">
                  <c:v>54.114570896295902</c:v>
                </c:pt>
                <c:pt idx="28">
                  <c:v>-119.97496055177675</c:v>
                </c:pt>
                <c:pt idx="29">
                  <c:v>-181.75392186774224</c:v>
                </c:pt>
                <c:pt idx="30">
                  <c:v>30.69176860581473</c:v>
                </c:pt>
                <c:pt idx="31">
                  <c:v>-44.663905830762673</c:v>
                </c:pt>
                <c:pt idx="32">
                  <c:v>-120.93308660588778</c:v>
                </c:pt>
                <c:pt idx="33">
                  <c:v>92.889565470735533</c:v>
                </c:pt>
                <c:pt idx="34">
                  <c:v>-13.648560321555152</c:v>
                </c:pt>
                <c:pt idx="35">
                  <c:v>65.338390866457303</c:v>
                </c:pt>
                <c:pt idx="36">
                  <c:v>-25.057370247274207</c:v>
                </c:pt>
                <c:pt idx="37">
                  <c:v>-40.355946245071664</c:v>
                </c:pt>
                <c:pt idx="38">
                  <c:v>-5.3798617383219778</c:v>
                </c:pt>
                <c:pt idx="39">
                  <c:v>11.38880163361523</c:v>
                </c:pt>
                <c:pt idx="40">
                  <c:v>10.249607523682016</c:v>
                </c:pt>
                <c:pt idx="41">
                  <c:v>18.526704175760159</c:v>
                </c:pt>
                <c:pt idx="42">
                  <c:v>8.5829581140201867</c:v>
                </c:pt>
                <c:pt idx="43">
                  <c:v>-64.628248433307022</c:v>
                </c:pt>
                <c:pt idx="44">
                  <c:v>-85.509768655584196</c:v>
                </c:pt>
                <c:pt idx="45">
                  <c:v>39.624009610123608</c:v>
                </c:pt>
                <c:pt idx="46">
                  <c:v>100.17655770955218</c:v>
                </c:pt>
                <c:pt idx="47">
                  <c:v>-83.239436982706536</c:v>
                </c:pt>
                <c:pt idx="48">
                  <c:v>-96.694213448621639</c:v>
                </c:pt>
                <c:pt idx="49">
                  <c:v>-114.91755981190695</c:v>
                </c:pt>
                <c:pt idx="50">
                  <c:v>122.46285679475932</c:v>
                </c:pt>
                <c:pt idx="51">
                  <c:v>-6.1445890033326123E-2</c:v>
                </c:pt>
                <c:pt idx="52">
                  <c:v>9.4974207740752377</c:v>
                </c:pt>
                <c:pt idx="53">
                  <c:v>-112.39835890365947</c:v>
                </c:pt>
                <c:pt idx="54">
                  <c:v>-64.238657413763235</c:v>
                </c:pt>
                <c:pt idx="55">
                  <c:v>48.702254545356652</c:v>
                </c:pt>
                <c:pt idx="56">
                  <c:v>-110.97770405534635</c:v>
                </c:pt>
                <c:pt idx="57">
                  <c:v>12.271529710518394</c:v>
                </c:pt>
                <c:pt idx="58">
                  <c:v>203.72537552240016</c:v>
                </c:pt>
                <c:pt idx="59">
                  <c:v>13.484337535351301</c:v>
                </c:pt>
                <c:pt idx="60">
                  <c:v>49.411982792443041</c:v>
                </c:pt>
                <c:pt idx="61">
                  <c:v>-32.597250581592675</c:v>
                </c:pt>
                <c:pt idx="62">
                  <c:v>-150.81324658115017</c:v>
                </c:pt>
                <c:pt idx="63">
                  <c:v>-123.84359803865726</c:v>
                </c:pt>
                <c:pt idx="64">
                  <c:v>-54.340769601299144</c:v>
                </c:pt>
                <c:pt idx="65">
                  <c:v>26.432267531671926</c:v>
                </c:pt>
                <c:pt idx="66">
                  <c:v>-24.3381727381838</c:v>
                </c:pt>
                <c:pt idx="67">
                  <c:v>-114.78289738974786</c:v>
                </c:pt>
                <c:pt idx="68">
                  <c:v>62.581581002130179</c:v>
                </c:pt>
                <c:pt idx="69">
                  <c:v>-68.077481719768798</c:v>
                </c:pt>
                <c:pt idx="70">
                  <c:v>98.155626750362387</c:v>
                </c:pt>
                <c:pt idx="71">
                  <c:v>-73.759800511059225</c:v>
                </c:pt>
                <c:pt idx="72">
                  <c:v>-23.932073153260546</c:v>
                </c:pt>
                <c:pt idx="73">
                  <c:v>-229.47832783274401</c:v>
                </c:pt>
                <c:pt idx="74">
                  <c:v>-167.29022988645806</c:v>
                </c:pt>
                <c:pt idx="75">
                  <c:v>-0.2324979964498084</c:v>
                </c:pt>
                <c:pt idx="76">
                  <c:v>-8.5839537665535772</c:v>
                </c:pt>
                <c:pt idx="77">
                  <c:v>111.04160392409648</c:v>
                </c:pt>
                <c:pt idx="78">
                  <c:v>128.88305673110966</c:v>
                </c:pt>
                <c:pt idx="79">
                  <c:v>34.306762003865742</c:v>
                </c:pt>
                <c:pt idx="80">
                  <c:v>-0.12197405676806738</c:v>
                </c:pt>
                <c:pt idx="81">
                  <c:v>-98.53876818927219</c:v>
                </c:pt>
                <c:pt idx="82">
                  <c:v>32.071665151359184</c:v>
                </c:pt>
                <c:pt idx="83">
                  <c:v>116.74381682058015</c:v>
                </c:pt>
                <c:pt idx="84">
                  <c:v>-133.88959743737189</c:v>
                </c:pt>
                <c:pt idx="85">
                  <c:v>0.14389979342058723</c:v>
                </c:pt>
                <c:pt idx="86">
                  <c:v>143.98804350509289</c:v>
                </c:pt>
                <c:pt idx="87">
                  <c:v>37.383804313667838</c:v>
                </c:pt>
                <c:pt idx="88">
                  <c:v>37.701975863218649</c:v>
                </c:pt>
                <c:pt idx="89">
                  <c:v>-38.632491023889202</c:v>
                </c:pt>
                <c:pt idx="90">
                  <c:v>-25.196369824298472</c:v>
                </c:pt>
                <c:pt idx="91">
                  <c:v>28.583757031526318</c:v>
                </c:pt>
                <c:pt idx="92">
                  <c:v>-173.97412441869031</c:v>
                </c:pt>
                <c:pt idx="93">
                  <c:v>-9.6150591255299673</c:v>
                </c:pt>
                <c:pt idx="94">
                  <c:v>45.968841246210445</c:v>
                </c:pt>
                <c:pt idx="95">
                  <c:v>-61.728102751658753</c:v>
                </c:pt>
                <c:pt idx="96">
                  <c:v>120.4028389277417</c:v>
                </c:pt>
                <c:pt idx="97">
                  <c:v>8.4483307722469476</c:v>
                </c:pt>
                <c:pt idx="98">
                  <c:v>135.4450300353115</c:v>
                </c:pt>
                <c:pt idx="99">
                  <c:v>6.2758160974124735</c:v>
                </c:pt>
                <c:pt idx="100">
                  <c:v>99.050490241924251</c:v>
                </c:pt>
                <c:pt idx="101">
                  <c:v>-152.10746999741605</c:v>
                </c:pt>
                <c:pt idx="102">
                  <c:v>-92.442161660452655</c:v>
                </c:pt>
                <c:pt idx="103">
                  <c:v>-0.25670711910163391</c:v>
                </c:pt>
                <c:pt idx="104">
                  <c:v>-28.792563145608938</c:v>
                </c:pt>
                <c:pt idx="105">
                  <c:v>-10.869383555900299</c:v>
                </c:pt>
                <c:pt idx="106">
                  <c:v>95.309224776775181</c:v>
                </c:pt>
                <c:pt idx="107">
                  <c:v>73.149688709820651</c:v>
                </c:pt>
                <c:pt idx="108">
                  <c:v>97.366046451029035</c:v>
                </c:pt>
                <c:pt idx="109">
                  <c:v>9.8336066434221721</c:v>
                </c:pt>
                <c:pt idx="110">
                  <c:v>70.068604268526059</c:v>
                </c:pt>
                <c:pt idx="111">
                  <c:v>-62.831931175925831</c:v>
                </c:pt>
                <c:pt idx="112">
                  <c:v>-76.859457638568131</c:v>
                </c:pt>
                <c:pt idx="113">
                  <c:v>33.401649855602898</c:v>
                </c:pt>
                <c:pt idx="114">
                  <c:v>-68.563999392903469</c:v>
                </c:pt>
                <c:pt idx="115">
                  <c:v>37.25326072026678</c:v>
                </c:pt>
                <c:pt idx="116">
                  <c:v>78.606905114252754</c:v>
                </c:pt>
                <c:pt idx="117">
                  <c:v>-10.09559801247525</c:v>
                </c:pt>
                <c:pt idx="118">
                  <c:v>-16.692903403502498</c:v>
                </c:pt>
                <c:pt idx="119">
                  <c:v>-18.91929016800583</c:v>
                </c:pt>
                <c:pt idx="120">
                  <c:v>174.30746561586557</c:v>
                </c:pt>
                <c:pt idx="121">
                  <c:v>55.807578483232874</c:v>
                </c:pt>
                <c:pt idx="122">
                  <c:v>-71.51556084023116</c:v>
                </c:pt>
                <c:pt idx="123">
                  <c:v>63.643141185495324</c:v>
                </c:pt>
                <c:pt idx="124">
                  <c:v>-96.876195555421987</c:v>
                </c:pt>
                <c:pt idx="125">
                  <c:v>-141.43337940739343</c:v>
                </c:pt>
                <c:pt idx="126">
                  <c:v>-0.31448886251263275</c:v>
                </c:pt>
                <c:pt idx="127">
                  <c:v>-126.28779190888903</c:v>
                </c:pt>
                <c:pt idx="128">
                  <c:v>-25.11859980324023</c:v>
                </c:pt>
                <c:pt idx="129">
                  <c:v>36.214480122999078</c:v>
                </c:pt>
                <c:pt idx="130">
                  <c:v>34.385195065522623</c:v>
                </c:pt>
                <c:pt idx="131">
                  <c:v>-29.723040325888462</c:v>
                </c:pt>
                <c:pt idx="132">
                  <c:v>-106.14507389854703</c:v>
                </c:pt>
                <c:pt idx="133">
                  <c:v>-134.06363037353535</c:v>
                </c:pt>
                <c:pt idx="134">
                  <c:v>64.808625229544191</c:v>
                </c:pt>
                <c:pt idx="135">
                  <c:v>-57.226194248123221</c:v>
                </c:pt>
                <c:pt idx="136">
                  <c:v>-57.082372665506497</c:v>
                </c:pt>
                <c:pt idx="137">
                  <c:v>-13.906591026823605</c:v>
                </c:pt>
                <c:pt idx="138">
                  <c:v>-75.602399074203788</c:v>
                </c:pt>
                <c:pt idx="139">
                  <c:v>-205.1348027992828</c:v>
                </c:pt>
                <c:pt idx="140">
                  <c:v>61.354399242016996</c:v>
                </c:pt>
                <c:pt idx="141">
                  <c:v>-174.3922470736442</c:v>
                </c:pt>
                <c:pt idx="142">
                  <c:v>30.694780855871329</c:v>
                </c:pt>
                <c:pt idx="143">
                  <c:v>118.65432228293116</c:v>
                </c:pt>
                <c:pt idx="144">
                  <c:v>17.483823096155135</c:v>
                </c:pt>
                <c:pt idx="145">
                  <c:v>13.211187186520135</c:v>
                </c:pt>
                <c:pt idx="146">
                  <c:v>83.168189622808057</c:v>
                </c:pt>
                <c:pt idx="147">
                  <c:v>3.773992004926356</c:v>
                </c:pt>
                <c:pt idx="148">
                  <c:v>8.9778995668101516</c:v>
                </c:pt>
                <c:pt idx="149">
                  <c:v>41.244991207275802</c:v>
                </c:pt>
                <c:pt idx="150">
                  <c:v>108.92173335118258</c:v>
                </c:pt>
                <c:pt idx="151">
                  <c:v>-14.936542785876156</c:v>
                </c:pt>
                <c:pt idx="152">
                  <c:v>146.25011686459305</c:v>
                </c:pt>
                <c:pt idx="153">
                  <c:v>-36.940848695579405</c:v>
                </c:pt>
                <c:pt idx="154">
                  <c:v>-252.82035848564828</c:v>
                </c:pt>
                <c:pt idx="155">
                  <c:v>48.083908204190152</c:v>
                </c:pt>
                <c:pt idx="156">
                  <c:v>107.57873731235196</c:v>
                </c:pt>
                <c:pt idx="157">
                  <c:v>124.84821402631957</c:v>
                </c:pt>
                <c:pt idx="158">
                  <c:v>55.824879167804283</c:v>
                </c:pt>
                <c:pt idx="159">
                  <c:v>80.552427724516974</c:v>
                </c:pt>
                <c:pt idx="160">
                  <c:v>-18.861204249229274</c:v>
                </c:pt>
                <c:pt idx="161">
                  <c:v>58.930094247783444</c:v>
                </c:pt>
                <c:pt idx="162">
                  <c:v>55.408910448176073</c:v>
                </c:pt>
                <c:pt idx="163">
                  <c:v>10.905342533872727</c:v>
                </c:pt>
                <c:pt idx="164">
                  <c:v>45.686023354816427</c:v>
                </c:pt>
                <c:pt idx="165">
                  <c:v>74.457536561196719</c:v>
                </c:pt>
                <c:pt idx="166">
                  <c:v>71.837544884392287</c:v>
                </c:pt>
                <c:pt idx="167">
                  <c:v>31.955468692711889</c:v>
                </c:pt>
                <c:pt idx="168">
                  <c:v>-167.38012351224839</c:v>
                </c:pt>
                <c:pt idx="169">
                  <c:v>127.04166432346341</c:v>
                </c:pt>
                <c:pt idx="170">
                  <c:v>-102.99106227189458</c:v>
                </c:pt>
                <c:pt idx="171">
                  <c:v>-35.85529980752807</c:v>
                </c:pt>
                <c:pt idx="172">
                  <c:v>-20.826341890719704</c:v>
                </c:pt>
                <c:pt idx="173">
                  <c:v>15.606654714186334</c:v>
                </c:pt>
                <c:pt idx="174">
                  <c:v>-10.136796628435889</c:v>
                </c:pt>
                <c:pt idx="175">
                  <c:v>41.534292345068138</c:v>
                </c:pt>
                <c:pt idx="176">
                  <c:v>102.21571007169564</c:v>
                </c:pt>
                <c:pt idx="177">
                  <c:v>54.910295839925482</c:v>
                </c:pt>
                <c:pt idx="178">
                  <c:v>7.403663469385549</c:v>
                </c:pt>
                <c:pt idx="179">
                  <c:v>-14.474306531359417</c:v>
                </c:pt>
                <c:pt idx="180">
                  <c:v>31.879399961121464</c:v>
                </c:pt>
                <c:pt idx="181">
                  <c:v>34.560737722236638</c:v>
                </c:pt>
                <c:pt idx="182">
                  <c:v>108.27427691840165</c:v>
                </c:pt>
                <c:pt idx="183">
                  <c:v>-68.913456584061862</c:v>
                </c:pt>
                <c:pt idx="184">
                  <c:v>223.56198026451807</c:v>
                </c:pt>
                <c:pt idx="185">
                  <c:v>69.255424199414392</c:v>
                </c:pt>
                <c:pt idx="186">
                  <c:v>102.65883148480589</c:v>
                </c:pt>
                <c:pt idx="187">
                  <c:v>-68.241264517686076</c:v>
                </c:pt>
                <c:pt idx="188">
                  <c:v>-83.056939216083777</c:v>
                </c:pt>
                <c:pt idx="189">
                  <c:v>114.56707319512822</c:v>
                </c:pt>
                <c:pt idx="190">
                  <c:v>-7.2514462385261709</c:v>
                </c:pt>
                <c:pt idx="191">
                  <c:v>181.69959309915771</c:v>
                </c:pt>
                <c:pt idx="192">
                  <c:v>-38.34514227261684</c:v>
                </c:pt>
                <c:pt idx="193">
                  <c:v>70.146211437904014</c:v>
                </c:pt>
                <c:pt idx="194">
                  <c:v>72.83801378481246</c:v>
                </c:pt>
                <c:pt idx="195">
                  <c:v>74.346574095024607</c:v>
                </c:pt>
                <c:pt idx="196">
                  <c:v>55.000252436344084</c:v>
                </c:pt>
                <c:pt idx="197">
                  <c:v>29.946362000254624</c:v>
                </c:pt>
                <c:pt idx="198">
                  <c:v>116.12442748075227</c:v>
                </c:pt>
              </c:numCache>
            </c:numRef>
          </c:yVal>
          <c:smooth val="0"/>
          <c:extLst>
            <c:ext xmlns:c16="http://schemas.microsoft.com/office/drawing/2014/chart" uri="{C3380CC4-5D6E-409C-BE32-E72D297353CC}">
              <c16:uniqueId val="{00000004-AEE1-40EF-B349-5AA8AC958400}"/>
            </c:ext>
          </c:extLst>
        </c:ser>
        <c:dLbls>
          <c:showLegendKey val="0"/>
          <c:showVal val="0"/>
          <c:showCatName val="0"/>
          <c:showSerName val="0"/>
          <c:showPercent val="0"/>
          <c:showBubbleSize val="0"/>
        </c:dLbls>
        <c:axId val="432746208"/>
        <c:axId val="432747648"/>
      </c:scatterChart>
      <c:valAx>
        <c:axId val="432746208"/>
        <c:scaling>
          <c:orientation val="minMax"/>
        </c:scaling>
        <c:delete val="0"/>
        <c:axPos val="b"/>
        <c:title>
          <c:tx>
            <c:rich>
              <a:bodyPr/>
              <a:lstStyle/>
              <a:p>
                <a:pPr>
                  <a:defRPr/>
                </a:pPr>
                <a:r>
                  <a:rPr lang="en-IN"/>
                  <a:t>1036.09</a:t>
                </a:r>
              </a:p>
            </c:rich>
          </c:tx>
          <c:overlay val="0"/>
        </c:title>
        <c:numFmt formatCode="General" sourceLinked="1"/>
        <c:majorTickMark val="out"/>
        <c:minorTickMark val="none"/>
        <c:tickLblPos val="nextTo"/>
        <c:crossAx val="432747648"/>
        <c:crosses val="autoZero"/>
        <c:crossBetween val="midCat"/>
      </c:valAx>
      <c:valAx>
        <c:axId val="432747648"/>
        <c:scaling>
          <c:orientation val="minMax"/>
        </c:scaling>
        <c:delete val="0"/>
        <c:axPos val="l"/>
        <c:title>
          <c:tx>
            <c:rich>
              <a:bodyPr/>
              <a:lstStyle/>
              <a:p>
                <a:pPr>
                  <a:defRPr/>
                </a:pPr>
                <a:r>
                  <a:rPr lang="en-IN"/>
                  <a:t>Residuals</a:t>
                </a:r>
              </a:p>
            </c:rich>
          </c:tx>
          <c:overlay val="0"/>
        </c:title>
        <c:numFmt formatCode="0.00" sourceLinked="1"/>
        <c:majorTickMark val="out"/>
        <c:minorTickMark val="none"/>
        <c:tickLblPos val="nextTo"/>
        <c:crossAx val="432746208"/>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IN"/>
              <a:t>1036.09 Line Fit  Plot</a:t>
            </a:r>
          </a:p>
        </c:rich>
      </c:tx>
      <c:overlay val="0"/>
    </c:title>
    <c:autoTitleDeleted val="0"/>
    <c:plotArea>
      <c:layout/>
      <c:scatterChart>
        <c:scatterStyle val="lineMarker"/>
        <c:varyColors val="0"/>
        <c:ser>
          <c:idx val="0"/>
          <c:order val="0"/>
          <c:spPr>
            <a:ln w="19050">
              <a:noFill/>
            </a:ln>
          </c:spPr>
          <c:xVal>
            <c:numRef>
              <c:f>Dataset!$E$3:$E$201</c:f>
              <c:numCache>
                <c:formatCode>General</c:formatCode>
                <c:ptCount val="199"/>
                <c:pt idx="0">
                  <c:v>1101.28</c:v>
                </c:pt>
                <c:pt idx="1">
                  <c:v>713.34</c:v>
                </c:pt>
                <c:pt idx="2">
                  <c:v>760.93</c:v>
                </c:pt>
                <c:pt idx="3">
                  <c:v>847</c:v>
                </c:pt>
                <c:pt idx="4">
                  <c:v>965.64</c:v>
                </c:pt>
                <c:pt idx="5">
                  <c:v>1317.53</c:v>
                </c:pt>
                <c:pt idx="6">
                  <c:v>1074.47</c:v>
                </c:pt>
                <c:pt idx="7">
                  <c:v>501.54</c:v>
                </c:pt>
                <c:pt idx="8">
                  <c:v>737.31</c:v>
                </c:pt>
                <c:pt idx="9">
                  <c:v>1572.82</c:v>
                </c:pt>
                <c:pt idx="10">
                  <c:v>1343.13</c:v>
                </c:pt>
                <c:pt idx="11">
                  <c:v>1191.58</c:v>
                </c:pt>
                <c:pt idx="12">
                  <c:v>822.28</c:v>
                </c:pt>
                <c:pt idx="13">
                  <c:v>521.66999999999996</c:v>
                </c:pt>
                <c:pt idx="14">
                  <c:v>1502.93</c:v>
                </c:pt>
                <c:pt idx="15">
                  <c:v>877.58</c:v>
                </c:pt>
                <c:pt idx="16">
                  <c:v>636.70000000000005</c:v>
                </c:pt>
                <c:pt idx="17">
                  <c:v>1506.14</c:v>
                </c:pt>
                <c:pt idx="18">
                  <c:v>645.02</c:v>
                </c:pt>
                <c:pt idx="19">
                  <c:v>953.3</c:v>
                </c:pt>
                <c:pt idx="20">
                  <c:v>388.56</c:v>
                </c:pt>
                <c:pt idx="21">
                  <c:v>743.17</c:v>
                </c:pt>
                <c:pt idx="22">
                  <c:v>706.37</c:v>
                </c:pt>
                <c:pt idx="23">
                  <c:v>925.31</c:v>
                </c:pt>
                <c:pt idx="24">
                  <c:v>1173.1199999999999</c:v>
                </c:pt>
                <c:pt idx="25">
                  <c:v>675.54</c:v>
                </c:pt>
                <c:pt idx="26">
                  <c:v>939.09</c:v>
                </c:pt>
                <c:pt idx="27">
                  <c:v>983.34</c:v>
                </c:pt>
                <c:pt idx="28">
                  <c:v>801.21</c:v>
                </c:pt>
                <c:pt idx="29">
                  <c:v>1450.71</c:v>
                </c:pt>
                <c:pt idx="30">
                  <c:v>1023.21</c:v>
                </c:pt>
                <c:pt idx="31">
                  <c:v>853.72</c:v>
                </c:pt>
                <c:pt idx="32">
                  <c:v>967.89</c:v>
                </c:pt>
                <c:pt idx="33">
                  <c:v>1200.9000000000001</c:v>
                </c:pt>
                <c:pt idx="34">
                  <c:v>472.38</c:v>
                </c:pt>
                <c:pt idx="35">
                  <c:v>840.92</c:v>
                </c:pt>
                <c:pt idx="36">
                  <c:v>1410.06</c:v>
                </c:pt>
                <c:pt idx="37">
                  <c:v>773.09</c:v>
                </c:pt>
                <c:pt idx="38">
                  <c:v>580.42999999999995</c:v>
                </c:pt>
                <c:pt idx="39">
                  <c:v>1151.21</c:v>
                </c:pt>
                <c:pt idx="40">
                  <c:v>1025.98</c:v>
                </c:pt>
                <c:pt idx="41">
                  <c:v>556.41999999999996</c:v>
                </c:pt>
                <c:pt idx="42">
                  <c:v>840.85</c:v>
                </c:pt>
                <c:pt idx="43">
                  <c:v>1227.25</c:v>
                </c:pt>
                <c:pt idx="44">
                  <c:v>856.7</c:v>
                </c:pt>
                <c:pt idx="45">
                  <c:v>1225.42</c:v>
                </c:pt>
                <c:pt idx="46">
                  <c:v>1001.57</c:v>
                </c:pt>
                <c:pt idx="47">
                  <c:v>1186.8499999999999</c:v>
                </c:pt>
                <c:pt idx="48">
                  <c:v>775.45</c:v>
                </c:pt>
                <c:pt idx="49">
                  <c:v>1021.47</c:v>
                </c:pt>
                <c:pt idx="50">
                  <c:v>1226.6199999999999</c:v>
                </c:pt>
                <c:pt idx="51">
                  <c:v>1086.93</c:v>
                </c:pt>
                <c:pt idx="52">
                  <c:v>942.9</c:v>
                </c:pt>
                <c:pt idx="53">
                  <c:v>818.8</c:v>
                </c:pt>
                <c:pt idx="54">
                  <c:v>919.04</c:v>
                </c:pt>
                <c:pt idx="55">
                  <c:v>973.26</c:v>
                </c:pt>
                <c:pt idx="56">
                  <c:v>741.61</c:v>
                </c:pt>
                <c:pt idx="57">
                  <c:v>1248.82</c:v>
                </c:pt>
                <c:pt idx="58">
                  <c:v>1360.36</c:v>
                </c:pt>
                <c:pt idx="59">
                  <c:v>1383.3</c:v>
                </c:pt>
                <c:pt idx="60">
                  <c:v>488.99</c:v>
                </c:pt>
                <c:pt idx="61">
                  <c:v>933.71</c:v>
                </c:pt>
                <c:pt idx="62">
                  <c:v>1005.53</c:v>
                </c:pt>
                <c:pt idx="63">
                  <c:v>1100.0999999999999</c:v>
                </c:pt>
                <c:pt idx="64">
                  <c:v>1034.7</c:v>
                </c:pt>
                <c:pt idx="65">
                  <c:v>876.44</c:v>
                </c:pt>
                <c:pt idx="66">
                  <c:v>1371.34</c:v>
                </c:pt>
                <c:pt idx="67">
                  <c:v>1020.26</c:v>
                </c:pt>
                <c:pt idx="68">
                  <c:v>804.81</c:v>
                </c:pt>
                <c:pt idx="69">
                  <c:v>608.66</c:v>
                </c:pt>
                <c:pt idx="70">
                  <c:v>981.2</c:v>
                </c:pt>
                <c:pt idx="71">
                  <c:v>539.77</c:v>
                </c:pt>
                <c:pt idx="72">
                  <c:v>804.45</c:v>
                </c:pt>
                <c:pt idx="73">
                  <c:v>1526.6</c:v>
                </c:pt>
                <c:pt idx="74">
                  <c:v>1215.26</c:v>
                </c:pt>
                <c:pt idx="75">
                  <c:v>1261.3399999999999</c:v>
                </c:pt>
                <c:pt idx="76">
                  <c:v>518.07000000000005</c:v>
                </c:pt>
                <c:pt idx="77">
                  <c:v>1111.3399999999999</c:v>
                </c:pt>
                <c:pt idx="78">
                  <c:v>1291.47</c:v>
                </c:pt>
                <c:pt idx="79">
                  <c:v>679.71</c:v>
                </c:pt>
                <c:pt idx="80">
                  <c:v>1143.69</c:v>
                </c:pt>
                <c:pt idx="81">
                  <c:v>790.08</c:v>
                </c:pt>
                <c:pt idx="82">
                  <c:v>1070.68</c:v>
                </c:pt>
                <c:pt idx="83">
                  <c:v>1168.8900000000001</c:v>
                </c:pt>
                <c:pt idx="84">
                  <c:v>1335.87</c:v>
                </c:pt>
                <c:pt idx="85">
                  <c:v>873.7</c:v>
                </c:pt>
                <c:pt idx="86">
                  <c:v>1443.98</c:v>
                </c:pt>
                <c:pt idx="87">
                  <c:v>1154.33</c:v>
                </c:pt>
                <c:pt idx="88">
                  <c:v>1264.49</c:v>
                </c:pt>
                <c:pt idx="89">
                  <c:v>1101.55</c:v>
                </c:pt>
                <c:pt idx="90">
                  <c:v>727.73</c:v>
                </c:pt>
                <c:pt idx="91">
                  <c:v>875.41</c:v>
                </c:pt>
                <c:pt idx="92">
                  <c:v>1158.94</c:v>
                </c:pt>
                <c:pt idx="93">
                  <c:v>966.3</c:v>
                </c:pt>
                <c:pt idx="94">
                  <c:v>917.48</c:v>
                </c:pt>
                <c:pt idx="95">
                  <c:v>1172.97</c:v>
                </c:pt>
                <c:pt idx="96">
                  <c:v>1205.82</c:v>
                </c:pt>
                <c:pt idx="97">
                  <c:v>826.93</c:v>
                </c:pt>
                <c:pt idx="98">
                  <c:v>902.19</c:v>
                </c:pt>
                <c:pt idx="99">
                  <c:v>585.97</c:v>
                </c:pt>
                <c:pt idx="100">
                  <c:v>990.19</c:v>
                </c:pt>
                <c:pt idx="101">
                  <c:v>1014.09</c:v>
                </c:pt>
                <c:pt idx="102">
                  <c:v>925.29</c:v>
                </c:pt>
                <c:pt idx="103">
                  <c:v>1286.54</c:v>
                </c:pt>
                <c:pt idx="104">
                  <c:v>961.62</c:v>
                </c:pt>
                <c:pt idx="105">
                  <c:v>1081.1400000000001</c:v>
                </c:pt>
                <c:pt idx="106">
                  <c:v>1923.66</c:v>
                </c:pt>
                <c:pt idx="107">
                  <c:v>728.71</c:v>
                </c:pt>
                <c:pt idx="108">
                  <c:v>1301.8900000000001</c:v>
                </c:pt>
                <c:pt idx="109">
                  <c:v>980.18</c:v>
                </c:pt>
                <c:pt idx="110">
                  <c:v>697.57</c:v>
                </c:pt>
                <c:pt idx="111">
                  <c:v>1193.6099999999999</c:v>
                </c:pt>
                <c:pt idx="112">
                  <c:v>771.02</c:v>
                </c:pt>
                <c:pt idx="113">
                  <c:v>661.09</c:v>
                </c:pt>
                <c:pt idx="114">
                  <c:v>688.83</c:v>
                </c:pt>
                <c:pt idx="115">
                  <c:v>1249.0999999999999</c:v>
                </c:pt>
                <c:pt idx="116">
                  <c:v>1014.22</c:v>
                </c:pt>
                <c:pt idx="117">
                  <c:v>1010.58</c:v>
                </c:pt>
                <c:pt idx="118">
                  <c:v>957.29</c:v>
                </c:pt>
                <c:pt idx="119">
                  <c:v>1077.92</c:v>
                </c:pt>
                <c:pt idx="120">
                  <c:v>1163.01</c:v>
                </c:pt>
                <c:pt idx="121">
                  <c:v>1014.56</c:v>
                </c:pt>
                <c:pt idx="122">
                  <c:v>718.04</c:v>
                </c:pt>
                <c:pt idx="123">
                  <c:v>1277.8499999999999</c:v>
                </c:pt>
                <c:pt idx="124">
                  <c:v>706.73</c:v>
                </c:pt>
                <c:pt idx="125">
                  <c:v>1410.59</c:v>
                </c:pt>
                <c:pt idx="126">
                  <c:v>1350.33</c:v>
                </c:pt>
                <c:pt idx="127">
                  <c:v>919.18</c:v>
                </c:pt>
                <c:pt idx="128">
                  <c:v>258.51</c:v>
                </c:pt>
                <c:pt idx="129">
                  <c:v>1213.48</c:v>
                </c:pt>
                <c:pt idx="130">
                  <c:v>1150.28</c:v>
                </c:pt>
                <c:pt idx="131">
                  <c:v>853.86</c:v>
                </c:pt>
                <c:pt idx="132">
                  <c:v>1061.04</c:v>
                </c:pt>
                <c:pt idx="133">
                  <c:v>894.55</c:v>
                </c:pt>
                <c:pt idx="134">
                  <c:v>833.91</c:v>
                </c:pt>
                <c:pt idx="135">
                  <c:v>820.19</c:v>
                </c:pt>
                <c:pt idx="136">
                  <c:v>511.74</c:v>
                </c:pt>
                <c:pt idx="137">
                  <c:v>806.03</c:v>
                </c:pt>
                <c:pt idx="138">
                  <c:v>1432.47</c:v>
                </c:pt>
                <c:pt idx="139">
                  <c:v>1488.58</c:v>
                </c:pt>
                <c:pt idx="140">
                  <c:v>1231.26</c:v>
                </c:pt>
                <c:pt idx="141">
                  <c:v>1161.67</c:v>
                </c:pt>
                <c:pt idx="142">
                  <c:v>388.23</c:v>
                </c:pt>
                <c:pt idx="143">
                  <c:v>1589.42</c:v>
                </c:pt>
                <c:pt idx="144">
                  <c:v>336.66</c:v>
                </c:pt>
                <c:pt idx="145">
                  <c:v>1353.79</c:v>
                </c:pt>
                <c:pt idx="146">
                  <c:v>662.61</c:v>
                </c:pt>
                <c:pt idx="147">
                  <c:v>309.42</c:v>
                </c:pt>
                <c:pt idx="148">
                  <c:v>884.63</c:v>
                </c:pt>
                <c:pt idx="149">
                  <c:v>745.05</c:v>
                </c:pt>
                <c:pt idx="150">
                  <c:v>870.23</c:v>
                </c:pt>
                <c:pt idx="151">
                  <c:v>862.19</c:v>
                </c:pt>
                <c:pt idx="152">
                  <c:v>1171.18</c:v>
                </c:pt>
                <c:pt idx="153">
                  <c:v>1054.56</c:v>
                </c:pt>
                <c:pt idx="154">
                  <c:v>1681.21</c:v>
                </c:pt>
                <c:pt idx="155">
                  <c:v>379.77</c:v>
                </c:pt>
                <c:pt idx="156">
                  <c:v>1076.33</c:v>
                </c:pt>
                <c:pt idx="157">
                  <c:v>1250.71</c:v>
                </c:pt>
                <c:pt idx="158">
                  <c:v>1118.3399999999999</c:v>
                </c:pt>
                <c:pt idx="159">
                  <c:v>1622.62</c:v>
                </c:pt>
                <c:pt idx="160">
                  <c:v>640.64</c:v>
                </c:pt>
                <c:pt idx="161">
                  <c:v>585.16</c:v>
                </c:pt>
                <c:pt idx="162">
                  <c:v>1109.98</c:v>
                </c:pt>
                <c:pt idx="163">
                  <c:v>1098.08</c:v>
                </c:pt>
                <c:pt idx="164">
                  <c:v>827.25</c:v>
                </c:pt>
                <c:pt idx="165">
                  <c:v>741.88</c:v>
                </c:pt>
                <c:pt idx="166">
                  <c:v>1311.26</c:v>
                </c:pt>
                <c:pt idx="167">
                  <c:v>573.32000000000005</c:v>
                </c:pt>
                <c:pt idx="168">
                  <c:v>1115.22</c:v>
                </c:pt>
                <c:pt idx="169">
                  <c:v>845.84</c:v>
                </c:pt>
                <c:pt idx="170">
                  <c:v>1029.8</c:v>
                </c:pt>
                <c:pt idx="171">
                  <c:v>1189.83</c:v>
                </c:pt>
                <c:pt idx="172">
                  <c:v>704.28</c:v>
                </c:pt>
                <c:pt idx="173">
                  <c:v>1618.22</c:v>
                </c:pt>
                <c:pt idx="174">
                  <c:v>1014.43</c:v>
                </c:pt>
                <c:pt idx="175">
                  <c:v>826.97</c:v>
                </c:pt>
                <c:pt idx="176">
                  <c:v>1022.23</c:v>
                </c:pt>
                <c:pt idx="177">
                  <c:v>1099.69</c:v>
                </c:pt>
                <c:pt idx="178">
                  <c:v>710.52</c:v>
                </c:pt>
                <c:pt idx="179">
                  <c:v>499.18</c:v>
                </c:pt>
                <c:pt idx="180">
                  <c:v>1064.19</c:v>
                </c:pt>
                <c:pt idx="181">
                  <c:v>438.76</c:v>
                </c:pt>
                <c:pt idx="182">
                  <c:v>864.98</c:v>
                </c:pt>
                <c:pt idx="183">
                  <c:v>984.93</c:v>
                </c:pt>
                <c:pt idx="184">
                  <c:v>1493.49</c:v>
                </c:pt>
                <c:pt idx="185">
                  <c:v>689.43</c:v>
                </c:pt>
                <c:pt idx="186">
                  <c:v>682.24</c:v>
                </c:pt>
                <c:pt idx="187">
                  <c:v>458.54</c:v>
                </c:pt>
                <c:pt idx="188">
                  <c:v>1184.25</c:v>
                </c:pt>
                <c:pt idx="189">
                  <c:v>762.14</c:v>
                </c:pt>
                <c:pt idx="190">
                  <c:v>750.71</c:v>
                </c:pt>
                <c:pt idx="191">
                  <c:v>1456.94</c:v>
                </c:pt>
                <c:pt idx="192">
                  <c:v>1093.3800000000001</c:v>
                </c:pt>
                <c:pt idx="193">
                  <c:v>934.27</c:v>
                </c:pt>
                <c:pt idx="194">
                  <c:v>1465.35</c:v>
                </c:pt>
                <c:pt idx="195">
                  <c:v>740.8</c:v>
                </c:pt>
                <c:pt idx="196">
                  <c:v>545.44000000000005</c:v>
                </c:pt>
                <c:pt idx="197">
                  <c:v>997.61</c:v>
                </c:pt>
                <c:pt idx="198">
                  <c:v>928.32</c:v>
                </c:pt>
              </c:numCache>
            </c:numRef>
          </c:xVal>
          <c:yVal>
            <c:numRef>
              <c:f>Dataset!$I$3:$I$201</c:f>
              <c:numCache>
                <c:formatCode>General</c:formatCode>
                <c:ptCount val="199"/>
                <c:pt idx="0">
                  <c:v>440.51</c:v>
                </c:pt>
                <c:pt idx="1">
                  <c:v>285.33999999999997</c:v>
                </c:pt>
                <c:pt idx="2">
                  <c:v>161.69999999999999</c:v>
                </c:pt>
                <c:pt idx="3">
                  <c:v>271.04000000000002</c:v>
                </c:pt>
                <c:pt idx="4">
                  <c:v>304.18</c:v>
                </c:pt>
                <c:pt idx="5">
                  <c:v>312.91000000000003</c:v>
                </c:pt>
                <c:pt idx="6">
                  <c:v>300.85000000000002</c:v>
                </c:pt>
                <c:pt idx="7">
                  <c:v>190.59</c:v>
                </c:pt>
                <c:pt idx="8">
                  <c:v>350.22</c:v>
                </c:pt>
                <c:pt idx="9">
                  <c:v>672.38</c:v>
                </c:pt>
                <c:pt idx="10">
                  <c:v>456.66</c:v>
                </c:pt>
                <c:pt idx="11">
                  <c:v>452.8</c:v>
                </c:pt>
                <c:pt idx="12">
                  <c:v>273.41000000000003</c:v>
                </c:pt>
                <c:pt idx="13">
                  <c:v>155.19999999999999</c:v>
                </c:pt>
                <c:pt idx="14">
                  <c:v>300.58999999999997</c:v>
                </c:pt>
                <c:pt idx="15">
                  <c:v>298.38</c:v>
                </c:pt>
                <c:pt idx="16">
                  <c:v>203.74</c:v>
                </c:pt>
                <c:pt idx="17">
                  <c:v>481.96</c:v>
                </c:pt>
                <c:pt idx="18">
                  <c:v>161.26</c:v>
                </c:pt>
                <c:pt idx="19">
                  <c:v>476.65</c:v>
                </c:pt>
                <c:pt idx="20">
                  <c:v>82.57</c:v>
                </c:pt>
                <c:pt idx="21">
                  <c:v>297.27</c:v>
                </c:pt>
                <c:pt idx="22">
                  <c:v>176.59</c:v>
                </c:pt>
                <c:pt idx="23">
                  <c:v>374.75</c:v>
                </c:pt>
                <c:pt idx="24">
                  <c:v>293.27999999999997</c:v>
                </c:pt>
                <c:pt idx="25">
                  <c:v>236.44</c:v>
                </c:pt>
                <c:pt idx="26">
                  <c:v>356.85</c:v>
                </c:pt>
                <c:pt idx="27">
                  <c:v>398.25</c:v>
                </c:pt>
                <c:pt idx="28">
                  <c:v>160.24</c:v>
                </c:pt>
                <c:pt idx="29">
                  <c:v>326.41000000000003</c:v>
                </c:pt>
                <c:pt idx="30">
                  <c:v>388.82</c:v>
                </c:pt>
                <c:pt idx="31">
                  <c:v>253.98</c:v>
                </c:pt>
                <c:pt idx="32">
                  <c:v>217.78</c:v>
                </c:pt>
                <c:pt idx="33">
                  <c:v>513.38</c:v>
                </c:pt>
                <c:pt idx="34">
                  <c:v>151.16</c:v>
                </c:pt>
                <c:pt idx="35">
                  <c:v>359.49</c:v>
                </c:pt>
                <c:pt idx="36">
                  <c:v>468.84</c:v>
                </c:pt>
                <c:pt idx="37">
                  <c:v>229.99</c:v>
                </c:pt>
                <c:pt idx="38">
                  <c:v>197.35</c:v>
                </c:pt>
                <c:pt idx="39">
                  <c:v>414.44</c:v>
                </c:pt>
                <c:pt idx="40">
                  <c:v>369.35</c:v>
                </c:pt>
                <c:pt idx="41">
                  <c:v>212.83</c:v>
                </c:pt>
                <c:pt idx="42">
                  <c:v>302.70999999999998</c:v>
                </c:pt>
                <c:pt idx="43">
                  <c:v>365.11</c:v>
                </c:pt>
                <c:pt idx="44">
                  <c:v>214.18</c:v>
                </c:pt>
                <c:pt idx="45">
                  <c:v>468.72</c:v>
                </c:pt>
                <c:pt idx="46">
                  <c:v>450.71</c:v>
                </c:pt>
                <c:pt idx="47">
                  <c:v>332.32</c:v>
                </c:pt>
                <c:pt idx="48">
                  <c:v>174.48</c:v>
                </c:pt>
                <c:pt idx="49">
                  <c:v>242.6</c:v>
                </c:pt>
                <c:pt idx="50">
                  <c:v>551.98</c:v>
                </c:pt>
                <c:pt idx="51">
                  <c:v>380.43</c:v>
                </c:pt>
                <c:pt idx="52">
                  <c:v>339.44</c:v>
                </c:pt>
                <c:pt idx="53">
                  <c:v>173.99</c:v>
                </c:pt>
                <c:pt idx="54">
                  <c:v>257.33</c:v>
                </c:pt>
                <c:pt idx="55">
                  <c:v>389.3</c:v>
                </c:pt>
                <c:pt idx="56">
                  <c:v>148.32</c:v>
                </c:pt>
                <c:pt idx="57">
                  <c:v>449.58</c:v>
                </c:pt>
                <c:pt idx="58">
                  <c:v>680.18</c:v>
                </c:pt>
                <c:pt idx="59">
                  <c:v>497.99</c:v>
                </c:pt>
                <c:pt idx="60">
                  <c:v>220.05</c:v>
                </c:pt>
                <c:pt idx="61">
                  <c:v>294.12</c:v>
                </c:pt>
                <c:pt idx="62">
                  <c:v>201.11</c:v>
                </c:pt>
                <c:pt idx="63">
                  <c:v>261.27</c:v>
                </c:pt>
                <c:pt idx="64">
                  <c:v>307.82</c:v>
                </c:pt>
                <c:pt idx="65">
                  <c:v>333.05</c:v>
                </c:pt>
                <c:pt idx="66">
                  <c:v>455.97</c:v>
                </c:pt>
                <c:pt idx="67">
                  <c:v>242.31</c:v>
                </c:pt>
                <c:pt idx="68">
                  <c:v>344.06</c:v>
                </c:pt>
                <c:pt idx="69">
                  <c:v>144.56</c:v>
                </c:pt>
                <c:pt idx="70">
                  <c:v>441.54</c:v>
                </c:pt>
                <c:pt idx="71">
                  <c:v>114.7</c:v>
                </c:pt>
                <c:pt idx="72">
                  <c:v>257.42</c:v>
                </c:pt>
                <c:pt idx="73">
                  <c:v>305.32</c:v>
                </c:pt>
                <c:pt idx="74">
                  <c:v>258.24</c:v>
                </c:pt>
                <c:pt idx="75">
                  <c:v>441.47</c:v>
                </c:pt>
                <c:pt idx="76">
                  <c:v>172.26</c:v>
                </c:pt>
                <c:pt idx="77">
                  <c:v>500.1</c:v>
                </c:pt>
                <c:pt idx="78">
                  <c:v>581.16</c:v>
                </c:pt>
                <c:pt idx="79">
                  <c:v>271.88</c:v>
                </c:pt>
                <c:pt idx="80">
                  <c:v>400.29</c:v>
                </c:pt>
                <c:pt idx="81">
                  <c:v>177.77</c:v>
                </c:pt>
                <c:pt idx="82">
                  <c:v>406.86</c:v>
                </c:pt>
                <c:pt idx="83">
                  <c:v>526</c:v>
                </c:pt>
                <c:pt idx="84">
                  <c:v>333.97</c:v>
                </c:pt>
                <c:pt idx="85">
                  <c:v>305.8</c:v>
                </c:pt>
                <c:pt idx="86">
                  <c:v>649.79</c:v>
                </c:pt>
                <c:pt idx="87">
                  <c:v>441.53</c:v>
                </c:pt>
                <c:pt idx="88">
                  <c:v>480.51</c:v>
                </c:pt>
                <c:pt idx="89">
                  <c:v>346.99</c:v>
                </c:pt>
                <c:pt idx="90">
                  <c:v>229.23</c:v>
                </c:pt>
                <c:pt idx="91">
                  <c:v>334.84</c:v>
                </c:pt>
                <c:pt idx="92">
                  <c:v>231.79</c:v>
                </c:pt>
                <c:pt idx="93">
                  <c:v>328.54</c:v>
                </c:pt>
                <c:pt idx="94">
                  <c:v>366.99</c:v>
                </c:pt>
                <c:pt idx="95">
                  <c:v>348.96</c:v>
                </c:pt>
                <c:pt idx="96">
                  <c:v>542.62</c:v>
                </c:pt>
                <c:pt idx="97">
                  <c:v>297.69</c:v>
                </c:pt>
                <c:pt idx="98">
                  <c:v>451.1</c:v>
                </c:pt>
                <c:pt idx="99">
                  <c:v>210.95</c:v>
                </c:pt>
                <c:pt idx="100">
                  <c:v>445.59</c:v>
                </c:pt>
                <c:pt idx="101">
                  <c:v>202.82</c:v>
                </c:pt>
                <c:pt idx="102">
                  <c:v>231.32</c:v>
                </c:pt>
                <c:pt idx="103">
                  <c:v>450.29</c:v>
                </c:pt>
                <c:pt idx="104">
                  <c:v>307.72000000000003</c:v>
                </c:pt>
                <c:pt idx="105">
                  <c:v>367.59</c:v>
                </c:pt>
                <c:pt idx="106">
                  <c:v>769.46</c:v>
                </c:pt>
                <c:pt idx="107">
                  <c:v>327.92</c:v>
                </c:pt>
                <c:pt idx="108">
                  <c:v>553.29999999999995</c:v>
                </c:pt>
                <c:pt idx="109">
                  <c:v>352.86</c:v>
                </c:pt>
                <c:pt idx="110">
                  <c:v>313.91000000000003</c:v>
                </c:pt>
                <c:pt idx="111">
                  <c:v>355.1</c:v>
                </c:pt>
                <c:pt idx="112">
                  <c:v>192.76</c:v>
                </c:pt>
                <c:pt idx="113">
                  <c:v>264.44</c:v>
                </c:pt>
                <c:pt idx="114">
                  <c:v>172.21</c:v>
                </c:pt>
                <c:pt idx="115">
                  <c:v>474.66</c:v>
                </c:pt>
                <c:pt idx="116">
                  <c:v>433.58</c:v>
                </c:pt>
                <c:pt idx="117">
                  <c:v>343.6</c:v>
                </c:pt>
                <c:pt idx="118">
                  <c:v>318.3</c:v>
                </c:pt>
                <c:pt idx="119">
                  <c:v>358.41</c:v>
                </c:pt>
                <c:pt idx="120">
                  <c:v>581.5</c:v>
                </c:pt>
                <c:pt idx="121">
                  <c:v>410.9</c:v>
                </c:pt>
                <c:pt idx="122">
                  <c:v>179.51</c:v>
                </c:pt>
                <c:pt idx="123">
                  <c:v>511.14</c:v>
                </c:pt>
                <c:pt idx="124">
                  <c:v>150.18</c:v>
                </c:pt>
                <c:pt idx="125">
                  <c:v>352.65</c:v>
                </c:pt>
                <c:pt idx="126">
                  <c:v>472.62</c:v>
                </c:pt>
                <c:pt idx="127">
                  <c:v>195.33</c:v>
                </c:pt>
                <c:pt idx="128">
                  <c:v>64.63</c:v>
                </c:pt>
                <c:pt idx="129">
                  <c:v>461.12</c:v>
                </c:pt>
                <c:pt idx="130">
                  <c:v>437.11</c:v>
                </c:pt>
                <c:pt idx="131">
                  <c:v>268.97000000000003</c:v>
                </c:pt>
                <c:pt idx="132">
                  <c:v>265.26</c:v>
                </c:pt>
                <c:pt idx="133">
                  <c:v>178.91</c:v>
                </c:pt>
                <c:pt idx="134">
                  <c:v>356.5</c:v>
                </c:pt>
                <c:pt idx="135">
                  <c:v>229.65</c:v>
                </c:pt>
                <c:pt idx="136">
                  <c:v>121.54</c:v>
                </c:pt>
                <c:pt idx="137">
                  <c:v>268</c:v>
                </c:pt>
                <c:pt idx="138">
                  <c:v>426.16</c:v>
                </c:pt>
                <c:pt idx="139">
                  <c:v>316.32</c:v>
                </c:pt>
                <c:pt idx="140">
                  <c:v>492.5</c:v>
                </c:pt>
                <c:pt idx="141">
                  <c:v>232.33</c:v>
                </c:pt>
                <c:pt idx="142">
                  <c:v>165.97</c:v>
                </c:pt>
                <c:pt idx="143">
                  <c:v>675.5</c:v>
                </c:pt>
                <c:pt idx="144">
                  <c:v>134.66</c:v>
                </c:pt>
                <c:pt idx="145">
                  <c:v>487.36</c:v>
                </c:pt>
                <c:pt idx="146">
                  <c:v>314.74</c:v>
                </c:pt>
                <c:pt idx="147">
                  <c:v>111.39</c:v>
                </c:pt>
                <c:pt idx="148">
                  <c:v>318.47000000000003</c:v>
                </c:pt>
                <c:pt idx="149">
                  <c:v>301.75</c:v>
                </c:pt>
                <c:pt idx="150">
                  <c:v>413.36</c:v>
                </c:pt>
                <c:pt idx="151">
                  <c:v>286.68</c:v>
                </c:pt>
                <c:pt idx="152">
                  <c:v>556.30999999999995</c:v>
                </c:pt>
                <c:pt idx="153">
                  <c:v>332.19</c:v>
                </c:pt>
                <c:pt idx="154">
                  <c:v>336.24</c:v>
                </c:pt>
                <c:pt idx="155">
                  <c:v>180.39</c:v>
                </c:pt>
                <c:pt idx="156">
                  <c:v>484.35</c:v>
                </c:pt>
                <c:pt idx="157">
                  <c:v>562.82000000000005</c:v>
                </c:pt>
                <c:pt idx="158">
                  <c:v>447.34</c:v>
                </c:pt>
                <c:pt idx="159">
                  <c:v>649.04999999999995</c:v>
                </c:pt>
                <c:pt idx="160">
                  <c:v>205</c:v>
                </c:pt>
                <c:pt idx="161">
                  <c:v>263.32</c:v>
                </c:pt>
                <c:pt idx="162">
                  <c:v>443.99</c:v>
                </c:pt>
                <c:pt idx="163">
                  <c:v>395.31</c:v>
                </c:pt>
                <c:pt idx="164">
                  <c:v>335.04</c:v>
                </c:pt>
                <c:pt idx="165">
                  <c:v>333.85</c:v>
                </c:pt>
                <c:pt idx="166">
                  <c:v>531.05999999999995</c:v>
                </c:pt>
                <c:pt idx="167">
                  <c:v>232.19</c:v>
                </c:pt>
                <c:pt idx="168">
                  <c:v>223.04</c:v>
                </c:pt>
                <c:pt idx="169">
                  <c:v>422.92</c:v>
                </c:pt>
                <c:pt idx="170">
                  <c:v>257.45</c:v>
                </c:pt>
                <c:pt idx="171">
                  <c:v>380.75</c:v>
                </c:pt>
                <c:pt idx="172">
                  <c:v>225.37</c:v>
                </c:pt>
                <c:pt idx="173">
                  <c:v>582.55999999999995</c:v>
                </c:pt>
                <c:pt idx="174">
                  <c:v>344.91</c:v>
                </c:pt>
                <c:pt idx="175">
                  <c:v>330.79</c:v>
                </c:pt>
                <c:pt idx="176">
                  <c:v>460</c:v>
                </c:pt>
                <c:pt idx="177">
                  <c:v>439.88</c:v>
                </c:pt>
                <c:pt idx="178">
                  <c:v>255.79</c:v>
                </c:pt>
                <c:pt idx="179">
                  <c:v>159.74</c:v>
                </c:pt>
                <c:pt idx="180">
                  <c:v>404.39</c:v>
                </c:pt>
                <c:pt idx="181">
                  <c:v>187.57</c:v>
                </c:pt>
                <c:pt idx="182">
                  <c:v>410.87</c:v>
                </c:pt>
                <c:pt idx="183">
                  <c:v>275.77999999999997</c:v>
                </c:pt>
                <c:pt idx="184">
                  <c:v>746.74</c:v>
                </c:pt>
                <c:pt idx="185">
                  <c:v>310.24</c:v>
                </c:pt>
                <c:pt idx="186">
                  <c:v>341.12</c:v>
                </c:pt>
                <c:pt idx="187">
                  <c:v>91.71</c:v>
                </c:pt>
                <c:pt idx="188">
                  <c:v>331.59</c:v>
                </c:pt>
                <c:pt idx="189">
                  <c:v>381.07</c:v>
                </c:pt>
                <c:pt idx="190">
                  <c:v>255.24</c:v>
                </c:pt>
                <c:pt idx="191">
                  <c:v>692.05</c:v>
                </c:pt>
                <c:pt idx="192">
                  <c:v>344.41</c:v>
                </c:pt>
                <c:pt idx="193">
                  <c:v>397.06</c:v>
                </c:pt>
                <c:pt idx="194">
                  <c:v>586.14</c:v>
                </c:pt>
                <c:pt idx="195">
                  <c:v>333.36</c:v>
                </c:pt>
                <c:pt idx="196">
                  <c:v>245.45</c:v>
                </c:pt>
                <c:pt idx="197">
                  <c:v>379.09</c:v>
                </c:pt>
                <c:pt idx="198">
                  <c:v>440.95</c:v>
                </c:pt>
              </c:numCache>
            </c:numRef>
          </c:yVal>
          <c:smooth val="0"/>
          <c:extLst>
            <c:ext xmlns:c16="http://schemas.microsoft.com/office/drawing/2014/chart" uri="{C3380CC4-5D6E-409C-BE32-E72D297353CC}">
              <c16:uniqueId val="{00000004-4D09-460A-B383-2C442174D231}"/>
            </c:ext>
          </c:extLst>
        </c:ser>
        <c:ser>
          <c:idx val="1"/>
          <c:order val="1"/>
          <c:tx>
            <c:v>Predicted 331.55</c:v>
          </c:tx>
          <c:spPr>
            <a:ln w="19050">
              <a:noFill/>
            </a:ln>
          </c:spPr>
          <c:xVal>
            <c:numRef>
              <c:f>Dataset!$E$3:$E$201</c:f>
              <c:numCache>
                <c:formatCode>General</c:formatCode>
                <c:ptCount val="199"/>
                <c:pt idx="0">
                  <c:v>1101.28</c:v>
                </c:pt>
                <c:pt idx="1">
                  <c:v>713.34</c:v>
                </c:pt>
                <c:pt idx="2">
                  <c:v>760.93</c:v>
                </c:pt>
                <c:pt idx="3">
                  <c:v>847</c:v>
                </c:pt>
                <c:pt idx="4">
                  <c:v>965.64</c:v>
                </c:pt>
                <c:pt idx="5">
                  <c:v>1317.53</c:v>
                </c:pt>
                <c:pt idx="6">
                  <c:v>1074.47</c:v>
                </c:pt>
                <c:pt idx="7">
                  <c:v>501.54</c:v>
                </c:pt>
                <c:pt idx="8">
                  <c:v>737.31</c:v>
                </c:pt>
                <c:pt idx="9">
                  <c:v>1572.82</c:v>
                </c:pt>
                <c:pt idx="10">
                  <c:v>1343.13</c:v>
                </c:pt>
                <c:pt idx="11">
                  <c:v>1191.58</c:v>
                </c:pt>
                <c:pt idx="12">
                  <c:v>822.28</c:v>
                </c:pt>
                <c:pt idx="13">
                  <c:v>521.66999999999996</c:v>
                </c:pt>
                <c:pt idx="14">
                  <c:v>1502.93</c:v>
                </c:pt>
                <c:pt idx="15">
                  <c:v>877.58</c:v>
                </c:pt>
                <c:pt idx="16">
                  <c:v>636.70000000000005</c:v>
                </c:pt>
                <c:pt idx="17">
                  <c:v>1506.14</c:v>
                </c:pt>
                <c:pt idx="18">
                  <c:v>645.02</c:v>
                </c:pt>
                <c:pt idx="19">
                  <c:v>953.3</c:v>
                </c:pt>
                <c:pt idx="20">
                  <c:v>388.56</c:v>
                </c:pt>
                <c:pt idx="21">
                  <c:v>743.17</c:v>
                </c:pt>
                <c:pt idx="22">
                  <c:v>706.37</c:v>
                </c:pt>
                <c:pt idx="23">
                  <c:v>925.31</c:v>
                </c:pt>
                <c:pt idx="24">
                  <c:v>1173.1199999999999</c:v>
                </c:pt>
                <c:pt idx="25">
                  <c:v>675.54</c:v>
                </c:pt>
                <c:pt idx="26">
                  <c:v>939.09</c:v>
                </c:pt>
                <c:pt idx="27">
                  <c:v>983.34</c:v>
                </c:pt>
                <c:pt idx="28">
                  <c:v>801.21</c:v>
                </c:pt>
                <c:pt idx="29">
                  <c:v>1450.71</c:v>
                </c:pt>
                <c:pt idx="30">
                  <c:v>1023.21</c:v>
                </c:pt>
                <c:pt idx="31">
                  <c:v>853.72</c:v>
                </c:pt>
                <c:pt idx="32">
                  <c:v>967.89</c:v>
                </c:pt>
                <c:pt idx="33">
                  <c:v>1200.9000000000001</c:v>
                </c:pt>
                <c:pt idx="34">
                  <c:v>472.38</c:v>
                </c:pt>
                <c:pt idx="35">
                  <c:v>840.92</c:v>
                </c:pt>
                <c:pt idx="36">
                  <c:v>1410.06</c:v>
                </c:pt>
                <c:pt idx="37">
                  <c:v>773.09</c:v>
                </c:pt>
                <c:pt idx="38">
                  <c:v>580.42999999999995</c:v>
                </c:pt>
                <c:pt idx="39">
                  <c:v>1151.21</c:v>
                </c:pt>
                <c:pt idx="40">
                  <c:v>1025.98</c:v>
                </c:pt>
                <c:pt idx="41">
                  <c:v>556.41999999999996</c:v>
                </c:pt>
                <c:pt idx="42">
                  <c:v>840.85</c:v>
                </c:pt>
                <c:pt idx="43">
                  <c:v>1227.25</c:v>
                </c:pt>
                <c:pt idx="44">
                  <c:v>856.7</c:v>
                </c:pt>
                <c:pt idx="45">
                  <c:v>1225.42</c:v>
                </c:pt>
                <c:pt idx="46">
                  <c:v>1001.57</c:v>
                </c:pt>
                <c:pt idx="47">
                  <c:v>1186.8499999999999</c:v>
                </c:pt>
                <c:pt idx="48">
                  <c:v>775.45</c:v>
                </c:pt>
                <c:pt idx="49">
                  <c:v>1021.47</c:v>
                </c:pt>
                <c:pt idx="50">
                  <c:v>1226.6199999999999</c:v>
                </c:pt>
                <c:pt idx="51">
                  <c:v>1086.93</c:v>
                </c:pt>
                <c:pt idx="52">
                  <c:v>942.9</c:v>
                </c:pt>
                <c:pt idx="53">
                  <c:v>818.8</c:v>
                </c:pt>
                <c:pt idx="54">
                  <c:v>919.04</c:v>
                </c:pt>
                <c:pt idx="55">
                  <c:v>973.26</c:v>
                </c:pt>
                <c:pt idx="56">
                  <c:v>741.61</c:v>
                </c:pt>
                <c:pt idx="57">
                  <c:v>1248.82</c:v>
                </c:pt>
                <c:pt idx="58">
                  <c:v>1360.36</c:v>
                </c:pt>
                <c:pt idx="59">
                  <c:v>1383.3</c:v>
                </c:pt>
                <c:pt idx="60">
                  <c:v>488.99</c:v>
                </c:pt>
                <c:pt idx="61">
                  <c:v>933.71</c:v>
                </c:pt>
                <c:pt idx="62">
                  <c:v>1005.53</c:v>
                </c:pt>
                <c:pt idx="63">
                  <c:v>1100.0999999999999</c:v>
                </c:pt>
                <c:pt idx="64">
                  <c:v>1034.7</c:v>
                </c:pt>
                <c:pt idx="65">
                  <c:v>876.44</c:v>
                </c:pt>
                <c:pt idx="66">
                  <c:v>1371.34</c:v>
                </c:pt>
                <c:pt idx="67">
                  <c:v>1020.26</c:v>
                </c:pt>
                <c:pt idx="68">
                  <c:v>804.81</c:v>
                </c:pt>
                <c:pt idx="69">
                  <c:v>608.66</c:v>
                </c:pt>
                <c:pt idx="70">
                  <c:v>981.2</c:v>
                </c:pt>
                <c:pt idx="71">
                  <c:v>539.77</c:v>
                </c:pt>
                <c:pt idx="72">
                  <c:v>804.45</c:v>
                </c:pt>
                <c:pt idx="73">
                  <c:v>1526.6</c:v>
                </c:pt>
                <c:pt idx="74">
                  <c:v>1215.26</c:v>
                </c:pt>
                <c:pt idx="75">
                  <c:v>1261.3399999999999</c:v>
                </c:pt>
                <c:pt idx="76">
                  <c:v>518.07000000000005</c:v>
                </c:pt>
                <c:pt idx="77">
                  <c:v>1111.3399999999999</c:v>
                </c:pt>
                <c:pt idx="78">
                  <c:v>1291.47</c:v>
                </c:pt>
                <c:pt idx="79">
                  <c:v>679.71</c:v>
                </c:pt>
                <c:pt idx="80">
                  <c:v>1143.69</c:v>
                </c:pt>
                <c:pt idx="81">
                  <c:v>790.08</c:v>
                </c:pt>
                <c:pt idx="82">
                  <c:v>1070.68</c:v>
                </c:pt>
                <c:pt idx="83">
                  <c:v>1168.8900000000001</c:v>
                </c:pt>
                <c:pt idx="84">
                  <c:v>1335.87</c:v>
                </c:pt>
                <c:pt idx="85">
                  <c:v>873.7</c:v>
                </c:pt>
                <c:pt idx="86">
                  <c:v>1443.98</c:v>
                </c:pt>
                <c:pt idx="87">
                  <c:v>1154.33</c:v>
                </c:pt>
                <c:pt idx="88">
                  <c:v>1264.49</c:v>
                </c:pt>
                <c:pt idx="89">
                  <c:v>1101.55</c:v>
                </c:pt>
                <c:pt idx="90">
                  <c:v>727.73</c:v>
                </c:pt>
                <c:pt idx="91">
                  <c:v>875.41</c:v>
                </c:pt>
                <c:pt idx="92">
                  <c:v>1158.94</c:v>
                </c:pt>
                <c:pt idx="93">
                  <c:v>966.3</c:v>
                </c:pt>
                <c:pt idx="94">
                  <c:v>917.48</c:v>
                </c:pt>
                <c:pt idx="95">
                  <c:v>1172.97</c:v>
                </c:pt>
                <c:pt idx="96">
                  <c:v>1205.82</c:v>
                </c:pt>
                <c:pt idx="97">
                  <c:v>826.93</c:v>
                </c:pt>
                <c:pt idx="98">
                  <c:v>902.19</c:v>
                </c:pt>
                <c:pt idx="99">
                  <c:v>585.97</c:v>
                </c:pt>
                <c:pt idx="100">
                  <c:v>990.19</c:v>
                </c:pt>
                <c:pt idx="101">
                  <c:v>1014.09</c:v>
                </c:pt>
                <c:pt idx="102">
                  <c:v>925.29</c:v>
                </c:pt>
                <c:pt idx="103">
                  <c:v>1286.54</c:v>
                </c:pt>
                <c:pt idx="104">
                  <c:v>961.62</c:v>
                </c:pt>
                <c:pt idx="105">
                  <c:v>1081.1400000000001</c:v>
                </c:pt>
                <c:pt idx="106">
                  <c:v>1923.66</c:v>
                </c:pt>
                <c:pt idx="107">
                  <c:v>728.71</c:v>
                </c:pt>
                <c:pt idx="108">
                  <c:v>1301.8900000000001</c:v>
                </c:pt>
                <c:pt idx="109">
                  <c:v>980.18</c:v>
                </c:pt>
                <c:pt idx="110">
                  <c:v>697.57</c:v>
                </c:pt>
                <c:pt idx="111">
                  <c:v>1193.6099999999999</c:v>
                </c:pt>
                <c:pt idx="112">
                  <c:v>771.02</c:v>
                </c:pt>
                <c:pt idx="113">
                  <c:v>661.09</c:v>
                </c:pt>
                <c:pt idx="114">
                  <c:v>688.83</c:v>
                </c:pt>
                <c:pt idx="115">
                  <c:v>1249.0999999999999</c:v>
                </c:pt>
                <c:pt idx="116">
                  <c:v>1014.22</c:v>
                </c:pt>
                <c:pt idx="117">
                  <c:v>1010.58</c:v>
                </c:pt>
                <c:pt idx="118">
                  <c:v>957.29</c:v>
                </c:pt>
                <c:pt idx="119">
                  <c:v>1077.92</c:v>
                </c:pt>
                <c:pt idx="120">
                  <c:v>1163.01</c:v>
                </c:pt>
                <c:pt idx="121">
                  <c:v>1014.56</c:v>
                </c:pt>
                <c:pt idx="122">
                  <c:v>718.04</c:v>
                </c:pt>
                <c:pt idx="123">
                  <c:v>1277.8499999999999</c:v>
                </c:pt>
                <c:pt idx="124">
                  <c:v>706.73</c:v>
                </c:pt>
                <c:pt idx="125">
                  <c:v>1410.59</c:v>
                </c:pt>
                <c:pt idx="126">
                  <c:v>1350.33</c:v>
                </c:pt>
                <c:pt idx="127">
                  <c:v>919.18</c:v>
                </c:pt>
                <c:pt idx="128">
                  <c:v>258.51</c:v>
                </c:pt>
                <c:pt idx="129">
                  <c:v>1213.48</c:v>
                </c:pt>
                <c:pt idx="130">
                  <c:v>1150.28</c:v>
                </c:pt>
                <c:pt idx="131">
                  <c:v>853.86</c:v>
                </c:pt>
                <c:pt idx="132">
                  <c:v>1061.04</c:v>
                </c:pt>
                <c:pt idx="133">
                  <c:v>894.55</c:v>
                </c:pt>
                <c:pt idx="134">
                  <c:v>833.91</c:v>
                </c:pt>
                <c:pt idx="135">
                  <c:v>820.19</c:v>
                </c:pt>
                <c:pt idx="136">
                  <c:v>511.74</c:v>
                </c:pt>
                <c:pt idx="137">
                  <c:v>806.03</c:v>
                </c:pt>
                <c:pt idx="138">
                  <c:v>1432.47</c:v>
                </c:pt>
                <c:pt idx="139">
                  <c:v>1488.58</c:v>
                </c:pt>
                <c:pt idx="140">
                  <c:v>1231.26</c:v>
                </c:pt>
                <c:pt idx="141">
                  <c:v>1161.67</c:v>
                </c:pt>
                <c:pt idx="142">
                  <c:v>388.23</c:v>
                </c:pt>
                <c:pt idx="143">
                  <c:v>1589.42</c:v>
                </c:pt>
                <c:pt idx="144">
                  <c:v>336.66</c:v>
                </c:pt>
                <c:pt idx="145">
                  <c:v>1353.79</c:v>
                </c:pt>
                <c:pt idx="146">
                  <c:v>662.61</c:v>
                </c:pt>
                <c:pt idx="147">
                  <c:v>309.42</c:v>
                </c:pt>
                <c:pt idx="148">
                  <c:v>884.63</c:v>
                </c:pt>
                <c:pt idx="149">
                  <c:v>745.05</c:v>
                </c:pt>
                <c:pt idx="150">
                  <c:v>870.23</c:v>
                </c:pt>
                <c:pt idx="151">
                  <c:v>862.19</c:v>
                </c:pt>
                <c:pt idx="152">
                  <c:v>1171.18</c:v>
                </c:pt>
                <c:pt idx="153">
                  <c:v>1054.56</c:v>
                </c:pt>
                <c:pt idx="154">
                  <c:v>1681.21</c:v>
                </c:pt>
                <c:pt idx="155">
                  <c:v>379.77</c:v>
                </c:pt>
                <c:pt idx="156">
                  <c:v>1076.33</c:v>
                </c:pt>
                <c:pt idx="157">
                  <c:v>1250.71</c:v>
                </c:pt>
                <c:pt idx="158">
                  <c:v>1118.3399999999999</c:v>
                </c:pt>
                <c:pt idx="159">
                  <c:v>1622.62</c:v>
                </c:pt>
                <c:pt idx="160">
                  <c:v>640.64</c:v>
                </c:pt>
                <c:pt idx="161">
                  <c:v>585.16</c:v>
                </c:pt>
                <c:pt idx="162">
                  <c:v>1109.98</c:v>
                </c:pt>
                <c:pt idx="163">
                  <c:v>1098.08</c:v>
                </c:pt>
                <c:pt idx="164">
                  <c:v>827.25</c:v>
                </c:pt>
                <c:pt idx="165">
                  <c:v>741.88</c:v>
                </c:pt>
                <c:pt idx="166">
                  <c:v>1311.26</c:v>
                </c:pt>
                <c:pt idx="167">
                  <c:v>573.32000000000005</c:v>
                </c:pt>
                <c:pt idx="168">
                  <c:v>1115.22</c:v>
                </c:pt>
                <c:pt idx="169">
                  <c:v>845.84</c:v>
                </c:pt>
                <c:pt idx="170">
                  <c:v>1029.8</c:v>
                </c:pt>
                <c:pt idx="171">
                  <c:v>1189.83</c:v>
                </c:pt>
                <c:pt idx="172">
                  <c:v>704.28</c:v>
                </c:pt>
                <c:pt idx="173">
                  <c:v>1618.22</c:v>
                </c:pt>
                <c:pt idx="174">
                  <c:v>1014.43</c:v>
                </c:pt>
                <c:pt idx="175">
                  <c:v>826.97</c:v>
                </c:pt>
                <c:pt idx="176">
                  <c:v>1022.23</c:v>
                </c:pt>
                <c:pt idx="177">
                  <c:v>1099.69</c:v>
                </c:pt>
                <c:pt idx="178">
                  <c:v>710.52</c:v>
                </c:pt>
                <c:pt idx="179">
                  <c:v>499.18</c:v>
                </c:pt>
                <c:pt idx="180">
                  <c:v>1064.19</c:v>
                </c:pt>
                <c:pt idx="181">
                  <c:v>438.76</c:v>
                </c:pt>
                <c:pt idx="182">
                  <c:v>864.98</c:v>
                </c:pt>
                <c:pt idx="183">
                  <c:v>984.93</c:v>
                </c:pt>
                <c:pt idx="184">
                  <c:v>1493.49</c:v>
                </c:pt>
                <c:pt idx="185">
                  <c:v>689.43</c:v>
                </c:pt>
                <c:pt idx="186">
                  <c:v>682.24</c:v>
                </c:pt>
                <c:pt idx="187">
                  <c:v>458.54</c:v>
                </c:pt>
                <c:pt idx="188">
                  <c:v>1184.25</c:v>
                </c:pt>
                <c:pt idx="189">
                  <c:v>762.14</c:v>
                </c:pt>
                <c:pt idx="190">
                  <c:v>750.71</c:v>
                </c:pt>
                <c:pt idx="191">
                  <c:v>1456.94</c:v>
                </c:pt>
                <c:pt idx="192">
                  <c:v>1093.3800000000001</c:v>
                </c:pt>
                <c:pt idx="193">
                  <c:v>934.27</c:v>
                </c:pt>
                <c:pt idx="194">
                  <c:v>1465.35</c:v>
                </c:pt>
                <c:pt idx="195">
                  <c:v>740.8</c:v>
                </c:pt>
                <c:pt idx="196">
                  <c:v>545.44000000000005</c:v>
                </c:pt>
                <c:pt idx="197">
                  <c:v>997.61</c:v>
                </c:pt>
                <c:pt idx="198">
                  <c:v>928.32</c:v>
                </c:pt>
              </c:numCache>
            </c:numRef>
          </c:xVal>
          <c:yVal>
            <c:numRef>
              <c:f>'Linear Regression'!$B$6:$B$204</c:f>
              <c:numCache>
                <c:formatCode>0.00</c:formatCode>
                <c:ptCount val="199"/>
                <c:pt idx="0">
                  <c:v>385.52773164043225</c:v>
                </c:pt>
                <c:pt idx="1">
                  <c:v>249.37604564672074</c:v>
                </c:pt>
                <c:pt idx="2">
                  <c:v>266.07826438271269</c:v>
                </c:pt>
                <c:pt idx="3">
                  <c:v>296.28545006472217</c:v>
                </c:pt>
                <c:pt idx="4">
                  <c:v>337.92342507707957</c:v>
                </c:pt>
                <c:pt idx="5">
                  <c:v>461.42297857588653</c:v>
                </c:pt>
                <c:pt idx="6">
                  <c:v>376.11847582383331</c:v>
                </c:pt>
                <c:pt idx="7">
                  <c:v>175.04257373490935</c:v>
                </c:pt>
                <c:pt idx="8">
                  <c:v>257.78857313362403</c:v>
                </c:pt>
                <c:pt idx="9">
                  <c:v>551.01973043786165</c:v>
                </c:pt>
                <c:pt idx="10">
                  <c:v>470.40757197032644</c:v>
                </c:pt>
                <c:pt idx="11">
                  <c:v>417.21948099660113</c:v>
                </c:pt>
                <c:pt idx="12">
                  <c:v>287.60970206821617</c:v>
                </c:pt>
                <c:pt idx="13">
                  <c:v>182.10741221264664</c:v>
                </c:pt>
                <c:pt idx="14">
                  <c:v>526.49108854968176</c:v>
                </c:pt>
                <c:pt idx="15">
                  <c:v>307.0178276429242</c:v>
                </c:pt>
                <c:pt idx="16">
                  <c:v>222.47841917211628</c:v>
                </c:pt>
                <c:pt idx="17">
                  <c:v>527.61767233078149</c:v>
                </c:pt>
                <c:pt idx="18">
                  <c:v>225.39841202530923</c:v>
                </c:pt>
                <c:pt idx="19">
                  <c:v>333.59257029241599</c:v>
                </c:pt>
                <c:pt idx="20">
                  <c:v>135.39103616835388</c:v>
                </c:pt>
                <c:pt idx="21">
                  <c:v>259.84520271532</c:v>
                </c:pt>
                <c:pt idx="22">
                  <c:v>246.92984971081268</c:v>
                </c:pt>
                <c:pt idx="23">
                  <c:v>323.76918087404204</c:v>
                </c:pt>
                <c:pt idx="24">
                  <c:v>410.7407468535792</c:v>
                </c:pt>
                <c:pt idx="25">
                  <c:v>236.10973196274304</c:v>
                </c:pt>
                <c:pt idx="26">
                  <c:v>328.60541903714289</c:v>
                </c:pt>
                <c:pt idx="27">
                  <c:v>344.1354291037041</c:v>
                </c:pt>
                <c:pt idx="28">
                  <c:v>280.21496055177676</c:v>
                </c:pt>
                <c:pt idx="29">
                  <c:v>508.16392186774226</c:v>
                </c:pt>
                <c:pt idx="30">
                  <c:v>358.12823139418526</c:v>
                </c:pt>
                <c:pt idx="31">
                  <c:v>298.64390583076266</c:v>
                </c:pt>
                <c:pt idx="32">
                  <c:v>338.71308660588778</c:v>
                </c:pt>
                <c:pt idx="33">
                  <c:v>420.49043452926446</c:v>
                </c:pt>
                <c:pt idx="34">
                  <c:v>164.80856032155515</c:v>
                </c:pt>
                <c:pt idx="35">
                  <c:v>294.15160913354271</c:v>
                </c:pt>
                <c:pt idx="36">
                  <c:v>493.89737024727418</c:v>
                </c:pt>
                <c:pt idx="37">
                  <c:v>270.34594624507167</c:v>
                </c:pt>
                <c:pt idx="38">
                  <c:v>202.72986173832197</c:v>
                </c:pt>
                <c:pt idx="39">
                  <c:v>403.05119836638477</c:v>
                </c:pt>
                <c:pt idx="40">
                  <c:v>359.10039247631801</c:v>
                </c:pt>
                <c:pt idx="41">
                  <c:v>194.30329582423985</c:v>
                </c:pt>
                <c:pt idx="42">
                  <c:v>294.12704188597979</c:v>
                </c:pt>
                <c:pt idx="43">
                  <c:v>429.73824843330704</c:v>
                </c:pt>
                <c:pt idx="44">
                  <c:v>299.6897686555842</c:v>
                </c:pt>
                <c:pt idx="45">
                  <c:v>429.09599038987642</c:v>
                </c:pt>
                <c:pt idx="46">
                  <c:v>350.53344229044779</c:v>
                </c:pt>
                <c:pt idx="47">
                  <c:v>415.55943698270653</c:v>
                </c:pt>
                <c:pt idx="48">
                  <c:v>271.17421344862163</c:v>
                </c:pt>
                <c:pt idx="49">
                  <c:v>357.51755981190695</c:v>
                </c:pt>
                <c:pt idx="50">
                  <c:v>429.5171432052407</c:v>
                </c:pt>
                <c:pt idx="51">
                  <c:v>380.49144589003333</c:v>
                </c:pt>
                <c:pt idx="52">
                  <c:v>329.94257922592476</c:v>
                </c:pt>
                <c:pt idx="53">
                  <c:v>286.38835890365948</c:v>
                </c:pt>
                <c:pt idx="54">
                  <c:v>321.56865741376322</c:v>
                </c:pt>
                <c:pt idx="55">
                  <c:v>340.59774545464336</c:v>
                </c:pt>
                <c:pt idx="56">
                  <c:v>259.29770405534634</c:v>
                </c:pt>
                <c:pt idx="57">
                  <c:v>437.30847028948159</c:v>
                </c:pt>
                <c:pt idx="58">
                  <c:v>476.45462447759979</c:v>
                </c:pt>
                <c:pt idx="59">
                  <c:v>484.50566246464871</c:v>
                </c:pt>
                <c:pt idx="60">
                  <c:v>170.63801720755697</c:v>
                </c:pt>
                <c:pt idx="61">
                  <c:v>326.71725058159268</c:v>
                </c:pt>
                <c:pt idx="62">
                  <c:v>351.92324658115018</c:v>
                </c:pt>
                <c:pt idx="63">
                  <c:v>385.11359803865724</c:v>
                </c:pt>
                <c:pt idx="64">
                  <c:v>362.16076960129914</c:v>
                </c:pt>
                <c:pt idx="65">
                  <c:v>306.61773246832809</c:v>
                </c:pt>
                <c:pt idx="66">
                  <c:v>480.30817273818383</c:v>
                </c:pt>
                <c:pt idx="67">
                  <c:v>357.09289738974786</c:v>
                </c:pt>
                <c:pt idx="68">
                  <c:v>281.47841899786982</c:v>
                </c:pt>
                <c:pt idx="69">
                  <c:v>212.6374817197688</c:v>
                </c:pt>
                <c:pt idx="70">
                  <c:v>343.38437324963763</c:v>
                </c:pt>
                <c:pt idx="71">
                  <c:v>188.45980051105923</c:v>
                </c:pt>
                <c:pt idx="72">
                  <c:v>281.35207315326056</c:v>
                </c:pt>
                <c:pt idx="73">
                  <c:v>534.79832783274401</c:v>
                </c:pt>
                <c:pt idx="74">
                  <c:v>425.53022988645807</c:v>
                </c:pt>
                <c:pt idx="75">
                  <c:v>441.70249799644984</c:v>
                </c:pt>
                <c:pt idx="76">
                  <c:v>180.84395376655357</c:v>
                </c:pt>
                <c:pt idx="77">
                  <c:v>389.05839607590354</c:v>
                </c:pt>
                <c:pt idx="78">
                  <c:v>452.27694326889031</c:v>
                </c:pt>
                <c:pt idx="79">
                  <c:v>237.57323799613425</c:v>
                </c:pt>
                <c:pt idx="80">
                  <c:v>400.41197405676809</c:v>
                </c:pt>
                <c:pt idx="81">
                  <c:v>276.3087681892722</c:v>
                </c:pt>
                <c:pt idx="82">
                  <c:v>374.78833484864083</c:v>
                </c:pt>
                <c:pt idx="83">
                  <c:v>409.25618317941985</c:v>
                </c:pt>
                <c:pt idx="84">
                  <c:v>467.85959743737192</c:v>
                </c:pt>
                <c:pt idx="85">
                  <c:v>305.65610020657942</c:v>
                </c:pt>
                <c:pt idx="86">
                  <c:v>505.80195649490707</c:v>
                </c:pt>
                <c:pt idx="87">
                  <c:v>404.14619568633213</c:v>
                </c:pt>
                <c:pt idx="88">
                  <c:v>442.80802413678134</c:v>
                </c:pt>
                <c:pt idx="89">
                  <c:v>385.62249102388921</c:v>
                </c:pt>
                <c:pt idx="90">
                  <c:v>254.42636982429846</c:v>
                </c:pt>
                <c:pt idx="91">
                  <c:v>306.25624296847366</c:v>
                </c:pt>
                <c:pt idx="92">
                  <c:v>405.7641244186903</c:v>
                </c:pt>
                <c:pt idx="93">
                  <c:v>338.15505912552999</c:v>
                </c:pt>
                <c:pt idx="94">
                  <c:v>321.02115875378956</c:v>
                </c:pt>
                <c:pt idx="95">
                  <c:v>410.68810275165873</c:v>
                </c:pt>
                <c:pt idx="96">
                  <c:v>422.21716107225831</c:v>
                </c:pt>
                <c:pt idx="97">
                  <c:v>289.24166922775305</c:v>
                </c:pt>
                <c:pt idx="98">
                  <c:v>315.65496996468852</c:v>
                </c:pt>
                <c:pt idx="99">
                  <c:v>204.67418390258752</c:v>
                </c:pt>
                <c:pt idx="100">
                  <c:v>346.53950975807572</c:v>
                </c:pt>
                <c:pt idx="101">
                  <c:v>354.92746999741604</c:v>
                </c:pt>
                <c:pt idx="102">
                  <c:v>323.76216166045265</c:v>
                </c:pt>
                <c:pt idx="103">
                  <c:v>450.54670711910165</c:v>
                </c:pt>
                <c:pt idx="104">
                  <c:v>336.51256314560896</c:v>
                </c:pt>
                <c:pt idx="105">
                  <c:v>378.45938355590027</c:v>
                </c:pt>
                <c:pt idx="106">
                  <c:v>674.15077522322485</c:v>
                </c:pt>
                <c:pt idx="107">
                  <c:v>254.77031129017936</c:v>
                </c:pt>
                <c:pt idx="108">
                  <c:v>455.93395354897092</c:v>
                </c:pt>
                <c:pt idx="109">
                  <c:v>343.02639335657784</c:v>
                </c:pt>
                <c:pt idx="110">
                  <c:v>243.84139573147397</c:v>
                </c:pt>
                <c:pt idx="111">
                  <c:v>417.93193117592585</c:v>
                </c:pt>
                <c:pt idx="112">
                  <c:v>269.61945763856812</c:v>
                </c:pt>
                <c:pt idx="113">
                  <c:v>231.0383501443971</c:v>
                </c:pt>
                <c:pt idx="114">
                  <c:v>240.77399939290348</c:v>
                </c:pt>
                <c:pt idx="115">
                  <c:v>437.40673927973324</c:v>
                </c:pt>
                <c:pt idx="116">
                  <c:v>354.97309488574723</c:v>
                </c:pt>
                <c:pt idx="117">
                  <c:v>353.69559801247527</c:v>
                </c:pt>
                <c:pt idx="118">
                  <c:v>334.99290340350251</c:v>
                </c:pt>
                <c:pt idx="119">
                  <c:v>377.32929016800585</c:v>
                </c:pt>
                <c:pt idx="120">
                  <c:v>407.19253438413443</c:v>
                </c:pt>
                <c:pt idx="121">
                  <c:v>355.0924215167671</c:v>
                </c:pt>
                <c:pt idx="122">
                  <c:v>251.02556084023115</c:v>
                </c:pt>
                <c:pt idx="123">
                  <c:v>447.49685881450466</c:v>
                </c:pt>
                <c:pt idx="124">
                  <c:v>247.05619555542199</c:v>
                </c:pt>
                <c:pt idx="125">
                  <c:v>494.08337940739341</c:v>
                </c:pt>
                <c:pt idx="126">
                  <c:v>472.93448886251264</c:v>
                </c:pt>
                <c:pt idx="127">
                  <c:v>321.61779190888905</c:v>
                </c:pt>
                <c:pt idx="128">
                  <c:v>89.748599803240225</c:v>
                </c:pt>
                <c:pt idx="129">
                  <c:v>424.90551987700093</c:v>
                </c:pt>
                <c:pt idx="130">
                  <c:v>402.72480493447739</c:v>
                </c:pt>
                <c:pt idx="131">
                  <c:v>298.69304032588849</c:v>
                </c:pt>
                <c:pt idx="132">
                  <c:v>371.40507389854702</c:v>
                </c:pt>
                <c:pt idx="133">
                  <c:v>312.97363037353534</c:v>
                </c:pt>
                <c:pt idx="134">
                  <c:v>291.69137477045581</c:v>
                </c:pt>
                <c:pt idx="135">
                  <c:v>286.87619424812323</c:v>
                </c:pt>
                <c:pt idx="136">
                  <c:v>178.6223726655065</c:v>
                </c:pt>
                <c:pt idx="137">
                  <c:v>281.90659102682361</c:v>
                </c:pt>
                <c:pt idx="138">
                  <c:v>501.76239907420381</c:v>
                </c:pt>
                <c:pt idx="139">
                  <c:v>521.45480279928279</c:v>
                </c:pt>
                <c:pt idx="140">
                  <c:v>431.145600757983</c:v>
                </c:pt>
                <c:pt idx="141">
                  <c:v>406.72224707364421</c:v>
                </c:pt>
                <c:pt idx="142">
                  <c:v>135.27521914412867</c:v>
                </c:pt>
                <c:pt idx="143">
                  <c:v>556.84567771706884</c:v>
                </c:pt>
                <c:pt idx="144">
                  <c:v>117.17617690384486</c:v>
                </c:pt>
                <c:pt idx="145">
                  <c:v>474.14881281347988</c:v>
                </c:pt>
                <c:pt idx="146">
                  <c:v>231.57181037719195</c:v>
                </c:pt>
                <c:pt idx="147">
                  <c:v>107.61600799507364</c:v>
                </c:pt>
                <c:pt idx="148">
                  <c:v>309.49210043318988</c:v>
                </c:pt>
                <c:pt idx="149">
                  <c:v>260.5050087927242</c:v>
                </c:pt>
                <c:pt idx="150">
                  <c:v>304.43826664881743</c:v>
                </c:pt>
                <c:pt idx="151">
                  <c:v>301.61654278587616</c:v>
                </c:pt>
                <c:pt idx="152">
                  <c:v>410.05988313540689</c:v>
                </c:pt>
                <c:pt idx="153">
                  <c:v>369.1308486955794</c:v>
                </c:pt>
                <c:pt idx="154">
                  <c:v>589.06035848564829</c:v>
                </c:pt>
                <c:pt idx="155">
                  <c:v>132.30609179580983</c:v>
                </c:pt>
                <c:pt idx="156">
                  <c:v>376.77126268764806</c:v>
                </c:pt>
                <c:pt idx="157">
                  <c:v>437.97178597368048</c:v>
                </c:pt>
                <c:pt idx="158">
                  <c:v>391.51512083219569</c:v>
                </c:pt>
                <c:pt idx="159">
                  <c:v>568.49757227548298</c:v>
                </c:pt>
                <c:pt idx="160">
                  <c:v>223.86120424922927</c:v>
                </c:pt>
                <c:pt idx="161">
                  <c:v>204.38990575221655</c:v>
                </c:pt>
                <c:pt idx="162">
                  <c:v>388.58108955182394</c:v>
                </c:pt>
                <c:pt idx="163">
                  <c:v>384.40465746612728</c:v>
                </c:pt>
                <c:pt idx="164">
                  <c:v>289.35397664518359</c:v>
                </c:pt>
                <c:pt idx="165">
                  <c:v>259.3924634388033</c:v>
                </c:pt>
                <c:pt idx="166">
                  <c:v>459.22245511560766</c:v>
                </c:pt>
                <c:pt idx="167">
                  <c:v>200.23453130728811</c:v>
                </c:pt>
                <c:pt idx="168">
                  <c:v>390.42012351224838</c:v>
                </c:pt>
                <c:pt idx="169">
                  <c:v>295.87833567653661</c:v>
                </c:pt>
                <c:pt idx="170">
                  <c:v>360.44106227189457</c:v>
                </c:pt>
                <c:pt idx="171">
                  <c:v>416.60529980752807</c:v>
                </c:pt>
                <c:pt idx="172">
                  <c:v>246.19634189071971</c:v>
                </c:pt>
                <c:pt idx="173">
                  <c:v>566.95334528581361</c:v>
                </c:pt>
                <c:pt idx="174">
                  <c:v>355.04679662843591</c:v>
                </c:pt>
                <c:pt idx="175">
                  <c:v>289.25570765493188</c:v>
                </c:pt>
                <c:pt idx="176">
                  <c:v>357.78428992830436</c:v>
                </c:pt>
                <c:pt idx="177">
                  <c:v>384.96970416007451</c:v>
                </c:pt>
                <c:pt idx="178">
                  <c:v>248.38633653061444</c:v>
                </c:pt>
                <c:pt idx="179">
                  <c:v>174.21430653135943</c:v>
                </c:pt>
                <c:pt idx="180">
                  <c:v>372.51060003887852</c:v>
                </c:pt>
                <c:pt idx="181">
                  <c:v>153.00926227776336</c:v>
                </c:pt>
                <c:pt idx="182">
                  <c:v>302.59572308159835</c:v>
                </c:pt>
                <c:pt idx="183">
                  <c:v>344.69345658406183</c:v>
                </c:pt>
                <c:pt idx="184">
                  <c:v>523.17801973548194</c:v>
                </c:pt>
                <c:pt idx="185">
                  <c:v>240.98457580058562</c:v>
                </c:pt>
                <c:pt idx="186">
                  <c:v>238.46116851519412</c:v>
                </c:pt>
                <c:pt idx="187">
                  <c:v>159.95126451768607</c:v>
                </c:pt>
                <c:pt idx="188">
                  <c:v>414.64693921608375</c:v>
                </c:pt>
                <c:pt idx="189">
                  <c:v>266.50292680487178</c:v>
                </c:pt>
                <c:pt idx="190">
                  <c:v>262.49144623852618</c:v>
                </c:pt>
                <c:pt idx="191">
                  <c:v>510.35040690084224</c:v>
                </c:pt>
                <c:pt idx="192">
                  <c:v>382.75514227261687</c:v>
                </c:pt>
                <c:pt idx="193">
                  <c:v>326.91378856209599</c:v>
                </c:pt>
                <c:pt idx="194">
                  <c:v>513.30198621518753</c:v>
                </c:pt>
                <c:pt idx="195">
                  <c:v>259.01342590497541</c:v>
                </c:pt>
                <c:pt idx="196">
                  <c:v>190.4497475636559</c:v>
                </c:pt>
                <c:pt idx="197">
                  <c:v>349.14363799974535</c:v>
                </c:pt>
                <c:pt idx="198">
                  <c:v>324.82557251924771</c:v>
                </c:pt>
              </c:numCache>
            </c:numRef>
          </c:yVal>
          <c:smooth val="0"/>
          <c:extLst>
            <c:ext xmlns:c16="http://schemas.microsoft.com/office/drawing/2014/chart" uri="{C3380CC4-5D6E-409C-BE32-E72D297353CC}">
              <c16:uniqueId val="{00000005-4D09-460A-B383-2C442174D231}"/>
            </c:ext>
          </c:extLst>
        </c:ser>
        <c:dLbls>
          <c:showLegendKey val="0"/>
          <c:showVal val="0"/>
          <c:showCatName val="0"/>
          <c:showSerName val="0"/>
          <c:showPercent val="0"/>
          <c:showBubbleSize val="0"/>
        </c:dLbls>
        <c:axId val="432760608"/>
        <c:axId val="432755808"/>
      </c:scatterChart>
      <c:valAx>
        <c:axId val="432760608"/>
        <c:scaling>
          <c:orientation val="minMax"/>
        </c:scaling>
        <c:delete val="0"/>
        <c:axPos val="b"/>
        <c:title>
          <c:tx>
            <c:rich>
              <a:bodyPr/>
              <a:lstStyle/>
              <a:p>
                <a:pPr>
                  <a:defRPr/>
                </a:pPr>
                <a:r>
                  <a:rPr lang="en-IN"/>
                  <a:t>1036.09</a:t>
                </a:r>
              </a:p>
            </c:rich>
          </c:tx>
          <c:overlay val="0"/>
        </c:title>
        <c:numFmt formatCode="General" sourceLinked="1"/>
        <c:majorTickMark val="out"/>
        <c:minorTickMark val="none"/>
        <c:tickLblPos val="nextTo"/>
        <c:crossAx val="432755808"/>
        <c:crosses val="autoZero"/>
        <c:crossBetween val="midCat"/>
      </c:valAx>
      <c:valAx>
        <c:axId val="432755808"/>
        <c:scaling>
          <c:orientation val="minMax"/>
        </c:scaling>
        <c:delete val="0"/>
        <c:axPos val="l"/>
        <c:title>
          <c:tx>
            <c:rich>
              <a:bodyPr/>
              <a:lstStyle/>
              <a:p>
                <a:pPr>
                  <a:defRPr/>
                </a:pPr>
                <a:r>
                  <a:rPr lang="en-IN"/>
                  <a:t>331.55</a:t>
                </a:r>
              </a:p>
            </c:rich>
          </c:tx>
          <c:overlay val="0"/>
        </c:title>
        <c:numFmt formatCode="General" sourceLinked="1"/>
        <c:majorTickMark val="out"/>
        <c:minorTickMark val="none"/>
        <c:tickLblPos val="nextTo"/>
        <c:crossAx val="432760608"/>
        <c:crosses val="autoZero"/>
        <c:crossBetween val="midCat"/>
      </c:valAx>
    </c:plotArea>
    <c:legend>
      <c:legendPos val="r"/>
      <c:overlay val="0"/>
    </c:legend>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IN"/>
              <a:t>Normal Probability Plot</a:t>
            </a:r>
          </a:p>
        </c:rich>
      </c:tx>
      <c:overlay val="0"/>
    </c:title>
    <c:autoTitleDeleted val="0"/>
    <c:plotArea>
      <c:layout/>
      <c:scatterChart>
        <c:scatterStyle val="lineMarker"/>
        <c:varyColors val="0"/>
        <c:ser>
          <c:idx val="0"/>
          <c:order val="0"/>
          <c:spPr>
            <a:ln w="19050">
              <a:noFill/>
            </a:ln>
          </c:spPr>
          <c:xVal>
            <c:numRef>
              <c:f>'Linear Regression'!$F$6:$F$204</c:f>
              <c:numCache>
                <c:formatCode>0.00</c:formatCode>
                <c:ptCount val="199"/>
                <c:pt idx="0">
                  <c:v>0.25125628140703515</c:v>
                </c:pt>
                <c:pt idx="1">
                  <c:v>0.75376884422110546</c:v>
                </c:pt>
                <c:pt idx="2">
                  <c:v>1.2562814070351758</c:v>
                </c:pt>
                <c:pt idx="3">
                  <c:v>1.7587939698492461</c:v>
                </c:pt>
                <c:pt idx="4">
                  <c:v>2.2613065326633164</c:v>
                </c:pt>
                <c:pt idx="5">
                  <c:v>2.7638190954773867</c:v>
                </c:pt>
                <c:pt idx="6">
                  <c:v>3.266331658291457</c:v>
                </c:pt>
                <c:pt idx="7">
                  <c:v>3.7688442211055273</c:v>
                </c:pt>
                <c:pt idx="8">
                  <c:v>4.2713567839195976</c:v>
                </c:pt>
                <c:pt idx="9">
                  <c:v>4.7738693467336679</c:v>
                </c:pt>
                <c:pt idx="10">
                  <c:v>5.2763819095477382</c:v>
                </c:pt>
                <c:pt idx="11">
                  <c:v>5.7788944723618085</c:v>
                </c:pt>
                <c:pt idx="12">
                  <c:v>6.2814070351758788</c:v>
                </c:pt>
                <c:pt idx="13">
                  <c:v>6.7839195979899491</c:v>
                </c:pt>
                <c:pt idx="14">
                  <c:v>7.2864321608040195</c:v>
                </c:pt>
                <c:pt idx="15">
                  <c:v>7.7889447236180898</c:v>
                </c:pt>
                <c:pt idx="16">
                  <c:v>8.2914572864321592</c:v>
                </c:pt>
                <c:pt idx="17">
                  <c:v>8.7939698492462313</c:v>
                </c:pt>
                <c:pt idx="18">
                  <c:v>9.2964824120602998</c:v>
                </c:pt>
                <c:pt idx="19">
                  <c:v>9.7989949748743719</c:v>
                </c:pt>
                <c:pt idx="20">
                  <c:v>10.30150753768844</c:v>
                </c:pt>
                <c:pt idx="21">
                  <c:v>10.804020100502512</c:v>
                </c:pt>
                <c:pt idx="22">
                  <c:v>11.306532663316581</c:v>
                </c:pt>
                <c:pt idx="23">
                  <c:v>11.809045226130653</c:v>
                </c:pt>
                <c:pt idx="24">
                  <c:v>12.311557788944722</c:v>
                </c:pt>
                <c:pt idx="25">
                  <c:v>12.814070351758794</c:v>
                </c:pt>
                <c:pt idx="26">
                  <c:v>13.316582914572862</c:v>
                </c:pt>
                <c:pt idx="27">
                  <c:v>13.819095477386934</c:v>
                </c:pt>
                <c:pt idx="28">
                  <c:v>14.321608040201003</c:v>
                </c:pt>
                <c:pt idx="29">
                  <c:v>14.824120603015075</c:v>
                </c:pt>
                <c:pt idx="30">
                  <c:v>15.326633165829143</c:v>
                </c:pt>
                <c:pt idx="31">
                  <c:v>15.829145728643216</c:v>
                </c:pt>
                <c:pt idx="32">
                  <c:v>16.331658291457284</c:v>
                </c:pt>
                <c:pt idx="33">
                  <c:v>16.834170854271353</c:v>
                </c:pt>
                <c:pt idx="34">
                  <c:v>17.336683417085425</c:v>
                </c:pt>
                <c:pt idx="35">
                  <c:v>17.839195979899497</c:v>
                </c:pt>
                <c:pt idx="36">
                  <c:v>18.341708542713565</c:v>
                </c:pt>
                <c:pt idx="37">
                  <c:v>18.844221105527634</c:v>
                </c:pt>
                <c:pt idx="38">
                  <c:v>19.346733668341706</c:v>
                </c:pt>
                <c:pt idx="39">
                  <c:v>19.849246231155778</c:v>
                </c:pt>
                <c:pt idx="40">
                  <c:v>20.351758793969847</c:v>
                </c:pt>
                <c:pt idx="41">
                  <c:v>20.854271356783915</c:v>
                </c:pt>
                <c:pt idx="42">
                  <c:v>21.356783919597987</c:v>
                </c:pt>
                <c:pt idx="43">
                  <c:v>21.859296482412059</c:v>
                </c:pt>
                <c:pt idx="44">
                  <c:v>22.361809045226128</c:v>
                </c:pt>
                <c:pt idx="45">
                  <c:v>22.864321608040196</c:v>
                </c:pt>
                <c:pt idx="46">
                  <c:v>23.366834170854268</c:v>
                </c:pt>
                <c:pt idx="47">
                  <c:v>23.86934673366834</c:v>
                </c:pt>
                <c:pt idx="48">
                  <c:v>24.371859296482409</c:v>
                </c:pt>
                <c:pt idx="49">
                  <c:v>24.874371859296478</c:v>
                </c:pt>
                <c:pt idx="50">
                  <c:v>25.37688442211055</c:v>
                </c:pt>
                <c:pt idx="51">
                  <c:v>25.879396984924622</c:v>
                </c:pt>
                <c:pt idx="52">
                  <c:v>26.38190954773869</c:v>
                </c:pt>
                <c:pt idx="53">
                  <c:v>26.884422110552759</c:v>
                </c:pt>
                <c:pt idx="54">
                  <c:v>27.386934673366831</c:v>
                </c:pt>
                <c:pt idx="55">
                  <c:v>27.889447236180903</c:v>
                </c:pt>
                <c:pt idx="56">
                  <c:v>28.391959798994971</c:v>
                </c:pt>
                <c:pt idx="57">
                  <c:v>28.89447236180904</c:v>
                </c:pt>
                <c:pt idx="58">
                  <c:v>29.396984924623112</c:v>
                </c:pt>
                <c:pt idx="59">
                  <c:v>29.899497487437184</c:v>
                </c:pt>
                <c:pt idx="60">
                  <c:v>30.402010050251253</c:v>
                </c:pt>
                <c:pt idx="61">
                  <c:v>30.904522613065321</c:v>
                </c:pt>
                <c:pt idx="62">
                  <c:v>31.407035175879393</c:v>
                </c:pt>
                <c:pt idx="63">
                  <c:v>31.909547738693465</c:v>
                </c:pt>
                <c:pt idx="64">
                  <c:v>32.412060301507537</c:v>
                </c:pt>
                <c:pt idx="65">
                  <c:v>32.914572864321606</c:v>
                </c:pt>
                <c:pt idx="66">
                  <c:v>33.417085427135675</c:v>
                </c:pt>
                <c:pt idx="67">
                  <c:v>33.91959798994975</c:v>
                </c:pt>
                <c:pt idx="68">
                  <c:v>34.422110552763819</c:v>
                </c:pt>
                <c:pt idx="69">
                  <c:v>34.924623115577887</c:v>
                </c:pt>
                <c:pt idx="70">
                  <c:v>35.427135678391963</c:v>
                </c:pt>
                <c:pt idx="71">
                  <c:v>35.929648241206031</c:v>
                </c:pt>
                <c:pt idx="72">
                  <c:v>36.4321608040201</c:v>
                </c:pt>
                <c:pt idx="73">
                  <c:v>36.934673366834168</c:v>
                </c:pt>
                <c:pt idx="74">
                  <c:v>37.437185929648237</c:v>
                </c:pt>
                <c:pt idx="75">
                  <c:v>37.939698492462313</c:v>
                </c:pt>
                <c:pt idx="76">
                  <c:v>38.442211055276381</c:v>
                </c:pt>
                <c:pt idx="77">
                  <c:v>38.94472361809045</c:v>
                </c:pt>
                <c:pt idx="78">
                  <c:v>39.447236180904525</c:v>
                </c:pt>
                <c:pt idx="79">
                  <c:v>39.949748743718594</c:v>
                </c:pt>
                <c:pt idx="80">
                  <c:v>40.452261306532662</c:v>
                </c:pt>
                <c:pt idx="81">
                  <c:v>40.954773869346731</c:v>
                </c:pt>
                <c:pt idx="82">
                  <c:v>41.457286432160799</c:v>
                </c:pt>
                <c:pt idx="83">
                  <c:v>41.959798994974875</c:v>
                </c:pt>
                <c:pt idx="84">
                  <c:v>42.462311557788944</c:v>
                </c:pt>
                <c:pt idx="85">
                  <c:v>42.964824120603012</c:v>
                </c:pt>
                <c:pt idx="86">
                  <c:v>43.467336683417088</c:v>
                </c:pt>
                <c:pt idx="87">
                  <c:v>43.969849246231156</c:v>
                </c:pt>
                <c:pt idx="88">
                  <c:v>44.472361809045225</c:v>
                </c:pt>
                <c:pt idx="89">
                  <c:v>44.974874371859293</c:v>
                </c:pt>
                <c:pt idx="90">
                  <c:v>45.477386934673362</c:v>
                </c:pt>
                <c:pt idx="91">
                  <c:v>45.979899497487438</c:v>
                </c:pt>
                <c:pt idx="92">
                  <c:v>46.482412060301506</c:v>
                </c:pt>
                <c:pt idx="93">
                  <c:v>46.984924623115575</c:v>
                </c:pt>
                <c:pt idx="94">
                  <c:v>47.48743718592965</c:v>
                </c:pt>
                <c:pt idx="95">
                  <c:v>47.989949748743719</c:v>
                </c:pt>
                <c:pt idx="96">
                  <c:v>48.492462311557787</c:v>
                </c:pt>
                <c:pt idx="97">
                  <c:v>48.994974874371856</c:v>
                </c:pt>
                <c:pt idx="98">
                  <c:v>49.497487437185924</c:v>
                </c:pt>
                <c:pt idx="99">
                  <c:v>50</c:v>
                </c:pt>
                <c:pt idx="100">
                  <c:v>50.502512562814069</c:v>
                </c:pt>
                <c:pt idx="101">
                  <c:v>51.005025125628137</c:v>
                </c:pt>
                <c:pt idx="102">
                  <c:v>51.507537688442213</c:v>
                </c:pt>
                <c:pt idx="103">
                  <c:v>52.010050251256281</c:v>
                </c:pt>
                <c:pt idx="104">
                  <c:v>52.51256281407035</c:v>
                </c:pt>
                <c:pt idx="105">
                  <c:v>53.015075376884418</c:v>
                </c:pt>
                <c:pt idx="106">
                  <c:v>53.517587939698487</c:v>
                </c:pt>
                <c:pt idx="107">
                  <c:v>54.020100502512562</c:v>
                </c:pt>
                <c:pt idx="108">
                  <c:v>54.522613065326631</c:v>
                </c:pt>
                <c:pt idx="109">
                  <c:v>55.0251256281407</c:v>
                </c:pt>
                <c:pt idx="110">
                  <c:v>55.527638190954775</c:v>
                </c:pt>
                <c:pt idx="111">
                  <c:v>56.030150753768844</c:v>
                </c:pt>
                <c:pt idx="112">
                  <c:v>56.532663316582912</c:v>
                </c:pt>
                <c:pt idx="113">
                  <c:v>57.035175879396981</c:v>
                </c:pt>
                <c:pt idx="114">
                  <c:v>57.537688442211049</c:v>
                </c:pt>
                <c:pt idx="115">
                  <c:v>58.040201005025125</c:v>
                </c:pt>
                <c:pt idx="116">
                  <c:v>58.542713567839193</c:v>
                </c:pt>
                <c:pt idx="117">
                  <c:v>59.045226130653262</c:v>
                </c:pt>
                <c:pt idx="118">
                  <c:v>59.547738693467338</c:v>
                </c:pt>
                <c:pt idx="119">
                  <c:v>60.050251256281406</c:v>
                </c:pt>
                <c:pt idx="120">
                  <c:v>60.552763819095475</c:v>
                </c:pt>
                <c:pt idx="121">
                  <c:v>61.055276381909543</c:v>
                </c:pt>
                <c:pt idx="122">
                  <c:v>61.557788944723612</c:v>
                </c:pt>
                <c:pt idx="123">
                  <c:v>62.060301507537687</c:v>
                </c:pt>
                <c:pt idx="124">
                  <c:v>62.562814070351756</c:v>
                </c:pt>
                <c:pt idx="125">
                  <c:v>63.065326633165824</c:v>
                </c:pt>
                <c:pt idx="126">
                  <c:v>63.5678391959799</c:v>
                </c:pt>
                <c:pt idx="127">
                  <c:v>64.070351758793961</c:v>
                </c:pt>
                <c:pt idx="128">
                  <c:v>64.572864321608037</c:v>
                </c:pt>
                <c:pt idx="129">
                  <c:v>65.075376884422113</c:v>
                </c:pt>
                <c:pt idx="130">
                  <c:v>65.577889447236174</c:v>
                </c:pt>
                <c:pt idx="131">
                  <c:v>66.08040201005025</c:v>
                </c:pt>
                <c:pt idx="132">
                  <c:v>66.582914572864311</c:v>
                </c:pt>
                <c:pt idx="133">
                  <c:v>67.085427135678387</c:v>
                </c:pt>
                <c:pt idx="134">
                  <c:v>67.587939698492463</c:v>
                </c:pt>
                <c:pt idx="135">
                  <c:v>68.090452261306524</c:v>
                </c:pt>
                <c:pt idx="136">
                  <c:v>68.5929648241206</c:v>
                </c:pt>
                <c:pt idx="137">
                  <c:v>69.095477386934675</c:v>
                </c:pt>
                <c:pt idx="138">
                  <c:v>69.597989949748737</c:v>
                </c:pt>
                <c:pt idx="139">
                  <c:v>70.100502512562812</c:v>
                </c:pt>
                <c:pt idx="140">
                  <c:v>70.603015075376888</c:v>
                </c:pt>
                <c:pt idx="141">
                  <c:v>71.105527638190949</c:v>
                </c:pt>
                <c:pt idx="142">
                  <c:v>71.608040201005025</c:v>
                </c:pt>
                <c:pt idx="143">
                  <c:v>72.110552763819086</c:v>
                </c:pt>
                <c:pt idx="144">
                  <c:v>72.613065326633162</c:v>
                </c:pt>
                <c:pt idx="145">
                  <c:v>73.115577889447238</c:v>
                </c:pt>
                <c:pt idx="146">
                  <c:v>73.618090452261299</c:v>
                </c:pt>
                <c:pt idx="147">
                  <c:v>74.120603015075375</c:v>
                </c:pt>
                <c:pt idx="148">
                  <c:v>74.623115577889436</c:v>
                </c:pt>
                <c:pt idx="149">
                  <c:v>75.125628140703512</c:v>
                </c:pt>
                <c:pt idx="150">
                  <c:v>75.628140703517587</c:v>
                </c:pt>
                <c:pt idx="151">
                  <c:v>76.130653266331649</c:v>
                </c:pt>
                <c:pt idx="152">
                  <c:v>76.633165829145725</c:v>
                </c:pt>
                <c:pt idx="153">
                  <c:v>77.1356783919598</c:v>
                </c:pt>
                <c:pt idx="154">
                  <c:v>77.638190954773862</c:v>
                </c:pt>
                <c:pt idx="155">
                  <c:v>78.140703517587937</c:v>
                </c:pt>
                <c:pt idx="156">
                  <c:v>78.643216080402013</c:v>
                </c:pt>
                <c:pt idx="157">
                  <c:v>79.145728643216074</c:v>
                </c:pt>
                <c:pt idx="158">
                  <c:v>79.64824120603015</c:v>
                </c:pt>
                <c:pt idx="159">
                  <c:v>80.150753768844211</c:v>
                </c:pt>
                <c:pt idx="160">
                  <c:v>80.653266331658287</c:v>
                </c:pt>
                <c:pt idx="161">
                  <c:v>81.155778894472363</c:v>
                </c:pt>
                <c:pt idx="162">
                  <c:v>81.658291457286424</c:v>
                </c:pt>
                <c:pt idx="163">
                  <c:v>82.1608040201005</c:v>
                </c:pt>
                <c:pt idx="164">
                  <c:v>82.663316582914561</c:v>
                </c:pt>
                <c:pt idx="165">
                  <c:v>83.165829145728637</c:v>
                </c:pt>
                <c:pt idx="166">
                  <c:v>83.668341708542712</c:v>
                </c:pt>
                <c:pt idx="167">
                  <c:v>84.170854271356774</c:v>
                </c:pt>
                <c:pt idx="168">
                  <c:v>84.673366834170849</c:v>
                </c:pt>
                <c:pt idx="169">
                  <c:v>85.175879396984925</c:v>
                </c:pt>
                <c:pt idx="170">
                  <c:v>85.678391959798986</c:v>
                </c:pt>
                <c:pt idx="171">
                  <c:v>86.180904522613062</c:v>
                </c:pt>
                <c:pt idx="172">
                  <c:v>86.683417085427138</c:v>
                </c:pt>
                <c:pt idx="173">
                  <c:v>87.185929648241199</c:v>
                </c:pt>
                <c:pt idx="174">
                  <c:v>87.688442211055275</c:v>
                </c:pt>
                <c:pt idx="175">
                  <c:v>88.190954773869336</c:v>
                </c:pt>
                <c:pt idx="176">
                  <c:v>88.693467336683412</c:v>
                </c:pt>
                <c:pt idx="177">
                  <c:v>89.195979899497488</c:v>
                </c:pt>
                <c:pt idx="178">
                  <c:v>89.698492462311549</c:v>
                </c:pt>
                <c:pt idx="179">
                  <c:v>90.201005025125625</c:v>
                </c:pt>
                <c:pt idx="180">
                  <c:v>90.703517587939686</c:v>
                </c:pt>
                <c:pt idx="181">
                  <c:v>91.206030150753762</c:v>
                </c:pt>
                <c:pt idx="182">
                  <c:v>91.708542713567837</c:v>
                </c:pt>
                <c:pt idx="183">
                  <c:v>92.211055276381899</c:v>
                </c:pt>
                <c:pt idx="184">
                  <c:v>92.713567839195974</c:v>
                </c:pt>
                <c:pt idx="185">
                  <c:v>93.21608040201005</c:v>
                </c:pt>
                <c:pt idx="186">
                  <c:v>93.718592964824111</c:v>
                </c:pt>
                <c:pt idx="187">
                  <c:v>94.221105527638187</c:v>
                </c:pt>
                <c:pt idx="188">
                  <c:v>94.723618090452263</c:v>
                </c:pt>
                <c:pt idx="189">
                  <c:v>95.226130653266324</c:v>
                </c:pt>
                <c:pt idx="190">
                  <c:v>95.7286432160804</c:v>
                </c:pt>
                <c:pt idx="191">
                  <c:v>96.231155778894461</c:v>
                </c:pt>
                <c:pt idx="192">
                  <c:v>96.733668341708537</c:v>
                </c:pt>
                <c:pt idx="193">
                  <c:v>97.236180904522612</c:v>
                </c:pt>
                <c:pt idx="194">
                  <c:v>97.738693467336674</c:v>
                </c:pt>
                <c:pt idx="195">
                  <c:v>98.241206030150749</c:v>
                </c:pt>
                <c:pt idx="196">
                  <c:v>98.743718592964811</c:v>
                </c:pt>
                <c:pt idx="197">
                  <c:v>99.246231155778887</c:v>
                </c:pt>
                <c:pt idx="198">
                  <c:v>99.748743718592962</c:v>
                </c:pt>
              </c:numCache>
            </c:numRef>
          </c:xVal>
          <c:yVal>
            <c:numRef>
              <c:f>'Linear Regression'!$G$6:$G$204</c:f>
              <c:numCache>
                <c:formatCode>General</c:formatCode>
                <c:ptCount val="199"/>
                <c:pt idx="0">
                  <c:v>64.63</c:v>
                </c:pt>
                <c:pt idx="1">
                  <c:v>82.57</c:v>
                </c:pt>
                <c:pt idx="2">
                  <c:v>91.71</c:v>
                </c:pt>
                <c:pt idx="3">
                  <c:v>111.39</c:v>
                </c:pt>
                <c:pt idx="4">
                  <c:v>114.7</c:v>
                </c:pt>
                <c:pt idx="5">
                  <c:v>121.54</c:v>
                </c:pt>
                <c:pt idx="6">
                  <c:v>134.66</c:v>
                </c:pt>
                <c:pt idx="7">
                  <c:v>144.56</c:v>
                </c:pt>
                <c:pt idx="8">
                  <c:v>148.32</c:v>
                </c:pt>
                <c:pt idx="9">
                  <c:v>150.18</c:v>
                </c:pt>
                <c:pt idx="10">
                  <c:v>151.16</c:v>
                </c:pt>
                <c:pt idx="11">
                  <c:v>155.19999999999999</c:v>
                </c:pt>
                <c:pt idx="12">
                  <c:v>159.74</c:v>
                </c:pt>
                <c:pt idx="13">
                  <c:v>160.24</c:v>
                </c:pt>
                <c:pt idx="14">
                  <c:v>161.26</c:v>
                </c:pt>
                <c:pt idx="15">
                  <c:v>161.69999999999999</c:v>
                </c:pt>
                <c:pt idx="16">
                  <c:v>165.97</c:v>
                </c:pt>
                <c:pt idx="17">
                  <c:v>172.21</c:v>
                </c:pt>
                <c:pt idx="18">
                  <c:v>172.26</c:v>
                </c:pt>
                <c:pt idx="19">
                  <c:v>173.99</c:v>
                </c:pt>
                <c:pt idx="20">
                  <c:v>174.48</c:v>
                </c:pt>
                <c:pt idx="21">
                  <c:v>176.59</c:v>
                </c:pt>
                <c:pt idx="22">
                  <c:v>177.77</c:v>
                </c:pt>
                <c:pt idx="23">
                  <c:v>178.91</c:v>
                </c:pt>
                <c:pt idx="24">
                  <c:v>179.51</c:v>
                </c:pt>
                <c:pt idx="25">
                  <c:v>180.39</c:v>
                </c:pt>
                <c:pt idx="26">
                  <c:v>187.57</c:v>
                </c:pt>
                <c:pt idx="27">
                  <c:v>190.59</c:v>
                </c:pt>
                <c:pt idx="28">
                  <c:v>192.76</c:v>
                </c:pt>
                <c:pt idx="29">
                  <c:v>195.33</c:v>
                </c:pt>
                <c:pt idx="30">
                  <c:v>197.35</c:v>
                </c:pt>
                <c:pt idx="31">
                  <c:v>201.11</c:v>
                </c:pt>
                <c:pt idx="32">
                  <c:v>202.82</c:v>
                </c:pt>
                <c:pt idx="33">
                  <c:v>203.74</c:v>
                </c:pt>
                <c:pt idx="34">
                  <c:v>205</c:v>
                </c:pt>
                <c:pt idx="35">
                  <c:v>210.95</c:v>
                </c:pt>
                <c:pt idx="36">
                  <c:v>212.83</c:v>
                </c:pt>
                <c:pt idx="37">
                  <c:v>214.18</c:v>
                </c:pt>
                <c:pt idx="38">
                  <c:v>217.78</c:v>
                </c:pt>
                <c:pt idx="39">
                  <c:v>220.05</c:v>
                </c:pt>
                <c:pt idx="40">
                  <c:v>223.04</c:v>
                </c:pt>
                <c:pt idx="41">
                  <c:v>225.37</c:v>
                </c:pt>
                <c:pt idx="42">
                  <c:v>229.23</c:v>
                </c:pt>
                <c:pt idx="43">
                  <c:v>229.65</c:v>
                </c:pt>
                <c:pt idx="44">
                  <c:v>229.99</c:v>
                </c:pt>
                <c:pt idx="45">
                  <c:v>231.32</c:v>
                </c:pt>
                <c:pt idx="46">
                  <c:v>231.79</c:v>
                </c:pt>
                <c:pt idx="47">
                  <c:v>232.19</c:v>
                </c:pt>
                <c:pt idx="48">
                  <c:v>232.33</c:v>
                </c:pt>
                <c:pt idx="49">
                  <c:v>236.44</c:v>
                </c:pt>
                <c:pt idx="50">
                  <c:v>242.31</c:v>
                </c:pt>
                <c:pt idx="51">
                  <c:v>242.6</c:v>
                </c:pt>
                <c:pt idx="52">
                  <c:v>245.45</c:v>
                </c:pt>
                <c:pt idx="53">
                  <c:v>253.98</c:v>
                </c:pt>
                <c:pt idx="54">
                  <c:v>255.24</c:v>
                </c:pt>
                <c:pt idx="55">
                  <c:v>255.79</c:v>
                </c:pt>
                <c:pt idx="56">
                  <c:v>257.33</c:v>
                </c:pt>
                <c:pt idx="57">
                  <c:v>257.42</c:v>
                </c:pt>
                <c:pt idx="58">
                  <c:v>257.45</c:v>
                </c:pt>
                <c:pt idx="59">
                  <c:v>258.24</c:v>
                </c:pt>
                <c:pt idx="60">
                  <c:v>261.27</c:v>
                </c:pt>
                <c:pt idx="61">
                  <c:v>263.32</c:v>
                </c:pt>
                <c:pt idx="62">
                  <c:v>264.44</c:v>
                </c:pt>
                <c:pt idx="63">
                  <c:v>265.26</c:v>
                </c:pt>
                <c:pt idx="64">
                  <c:v>268</c:v>
                </c:pt>
                <c:pt idx="65">
                  <c:v>268.97000000000003</c:v>
                </c:pt>
                <c:pt idx="66">
                  <c:v>271.04000000000002</c:v>
                </c:pt>
                <c:pt idx="67">
                  <c:v>271.88</c:v>
                </c:pt>
                <c:pt idx="68">
                  <c:v>273.41000000000003</c:v>
                </c:pt>
                <c:pt idx="69">
                  <c:v>275.77999999999997</c:v>
                </c:pt>
                <c:pt idx="70">
                  <c:v>285.33999999999997</c:v>
                </c:pt>
                <c:pt idx="71">
                  <c:v>286.68</c:v>
                </c:pt>
                <c:pt idx="72">
                  <c:v>293.27999999999997</c:v>
                </c:pt>
                <c:pt idx="73">
                  <c:v>294.12</c:v>
                </c:pt>
                <c:pt idx="74">
                  <c:v>297.27</c:v>
                </c:pt>
                <c:pt idx="75">
                  <c:v>297.69</c:v>
                </c:pt>
                <c:pt idx="76">
                  <c:v>298.38</c:v>
                </c:pt>
                <c:pt idx="77">
                  <c:v>300.58999999999997</c:v>
                </c:pt>
                <c:pt idx="78">
                  <c:v>300.85000000000002</c:v>
                </c:pt>
                <c:pt idx="79">
                  <c:v>301.75</c:v>
                </c:pt>
                <c:pt idx="80">
                  <c:v>302.70999999999998</c:v>
                </c:pt>
                <c:pt idx="81">
                  <c:v>304.18</c:v>
                </c:pt>
                <c:pt idx="82">
                  <c:v>305.32</c:v>
                </c:pt>
                <c:pt idx="83">
                  <c:v>305.8</c:v>
                </c:pt>
                <c:pt idx="84">
                  <c:v>307.72000000000003</c:v>
                </c:pt>
                <c:pt idx="85">
                  <c:v>307.82</c:v>
                </c:pt>
                <c:pt idx="86">
                  <c:v>310.24</c:v>
                </c:pt>
                <c:pt idx="87">
                  <c:v>312.91000000000003</c:v>
                </c:pt>
                <c:pt idx="88">
                  <c:v>313.91000000000003</c:v>
                </c:pt>
                <c:pt idx="89">
                  <c:v>314.74</c:v>
                </c:pt>
                <c:pt idx="90">
                  <c:v>316.32</c:v>
                </c:pt>
                <c:pt idx="91">
                  <c:v>318.3</c:v>
                </c:pt>
                <c:pt idx="92">
                  <c:v>318.47000000000003</c:v>
                </c:pt>
                <c:pt idx="93">
                  <c:v>326.41000000000003</c:v>
                </c:pt>
                <c:pt idx="94">
                  <c:v>327.92</c:v>
                </c:pt>
                <c:pt idx="95">
                  <c:v>328.54</c:v>
                </c:pt>
                <c:pt idx="96">
                  <c:v>330.79</c:v>
                </c:pt>
                <c:pt idx="97">
                  <c:v>331.59</c:v>
                </c:pt>
                <c:pt idx="98">
                  <c:v>332.19</c:v>
                </c:pt>
                <c:pt idx="99">
                  <c:v>332.32</c:v>
                </c:pt>
                <c:pt idx="100">
                  <c:v>333.05</c:v>
                </c:pt>
                <c:pt idx="101">
                  <c:v>333.36</c:v>
                </c:pt>
                <c:pt idx="102">
                  <c:v>333.85</c:v>
                </c:pt>
                <c:pt idx="103">
                  <c:v>333.97</c:v>
                </c:pt>
                <c:pt idx="104">
                  <c:v>334.84</c:v>
                </c:pt>
                <c:pt idx="105">
                  <c:v>335.04</c:v>
                </c:pt>
                <c:pt idx="106">
                  <c:v>336.24</c:v>
                </c:pt>
                <c:pt idx="107">
                  <c:v>339.44</c:v>
                </c:pt>
                <c:pt idx="108">
                  <c:v>341.12</c:v>
                </c:pt>
                <c:pt idx="109">
                  <c:v>343.6</c:v>
                </c:pt>
                <c:pt idx="110">
                  <c:v>344.06</c:v>
                </c:pt>
                <c:pt idx="111">
                  <c:v>344.41</c:v>
                </c:pt>
                <c:pt idx="112">
                  <c:v>344.91</c:v>
                </c:pt>
                <c:pt idx="113">
                  <c:v>346.99</c:v>
                </c:pt>
                <c:pt idx="114">
                  <c:v>348.96</c:v>
                </c:pt>
                <c:pt idx="115">
                  <c:v>350.22</c:v>
                </c:pt>
                <c:pt idx="116">
                  <c:v>352.65</c:v>
                </c:pt>
                <c:pt idx="117">
                  <c:v>352.86</c:v>
                </c:pt>
                <c:pt idx="118">
                  <c:v>355.1</c:v>
                </c:pt>
                <c:pt idx="119">
                  <c:v>356.5</c:v>
                </c:pt>
                <c:pt idx="120">
                  <c:v>356.85</c:v>
                </c:pt>
                <c:pt idx="121">
                  <c:v>358.41</c:v>
                </c:pt>
                <c:pt idx="122">
                  <c:v>359.49</c:v>
                </c:pt>
                <c:pt idx="123">
                  <c:v>365.11</c:v>
                </c:pt>
                <c:pt idx="124">
                  <c:v>366.99</c:v>
                </c:pt>
                <c:pt idx="125">
                  <c:v>367.59</c:v>
                </c:pt>
                <c:pt idx="126">
                  <c:v>369.35</c:v>
                </c:pt>
                <c:pt idx="127">
                  <c:v>374.75</c:v>
                </c:pt>
                <c:pt idx="128">
                  <c:v>379.09</c:v>
                </c:pt>
                <c:pt idx="129">
                  <c:v>380.43</c:v>
                </c:pt>
                <c:pt idx="130">
                  <c:v>380.75</c:v>
                </c:pt>
                <c:pt idx="131">
                  <c:v>381.07</c:v>
                </c:pt>
                <c:pt idx="132">
                  <c:v>388.82</c:v>
                </c:pt>
                <c:pt idx="133">
                  <c:v>389.3</c:v>
                </c:pt>
                <c:pt idx="134">
                  <c:v>395.31</c:v>
                </c:pt>
                <c:pt idx="135">
                  <c:v>397.06</c:v>
                </c:pt>
                <c:pt idx="136">
                  <c:v>398.25</c:v>
                </c:pt>
                <c:pt idx="137">
                  <c:v>400.29</c:v>
                </c:pt>
                <c:pt idx="138">
                  <c:v>404.39</c:v>
                </c:pt>
                <c:pt idx="139">
                  <c:v>406.86</c:v>
                </c:pt>
                <c:pt idx="140">
                  <c:v>410.87</c:v>
                </c:pt>
                <c:pt idx="141">
                  <c:v>410.9</c:v>
                </c:pt>
                <c:pt idx="142">
                  <c:v>413.36</c:v>
                </c:pt>
                <c:pt idx="143">
                  <c:v>414.44</c:v>
                </c:pt>
                <c:pt idx="144">
                  <c:v>422.92</c:v>
                </c:pt>
                <c:pt idx="145">
                  <c:v>426.16</c:v>
                </c:pt>
                <c:pt idx="146">
                  <c:v>433.58</c:v>
                </c:pt>
                <c:pt idx="147">
                  <c:v>437.11</c:v>
                </c:pt>
                <c:pt idx="148">
                  <c:v>439.88</c:v>
                </c:pt>
                <c:pt idx="149">
                  <c:v>440.51</c:v>
                </c:pt>
                <c:pt idx="150">
                  <c:v>440.95</c:v>
                </c:pt>
                <c:pt idx="151">
                  <c:v>441.47</c:v>
                </c:pt>
                <c:pt idx="152">
                  <c:v>441.53</c:v>
                </c:pt>
                <c:pt idx="153">
                  <c:v>441.54</c:v>
                </c:pt>
                <c:pt idx="154">
                  <c:v>443.99</c:v>
                </c:pt>
                <c:pt idx="155">
                  <c:v>445.59</c:v>
                </c:pt>
                <c:pt idx="156">
                  <c:v>447.34</c:v>
                </c:pt>
                <c:pt idx="157">
                  <c:v>449.58</c:v>
                </c:pt>
                <c:pt idx="158">
                  <c:v>450.29</c:v>
                </c:pt>
                <c:pt idx="159">
                  <c:v>450.71</c:v>
                </c:pt>
                <c:pt idx="160">
                  <c:v>451.1</c:v>
                </c:pt>
                <c:pt idx="161">
                  <c:v>452.8</c:v>
                </c:pt>
                <c:pt idx="162">
                  <c:v>455.97</c:v>
                </c:pt>
                <c:pt idx="163">
                  <c:v>456.66</c:v>
                </c:pt>
                <c:pt idx="164">
                  <c:v>460</c:v>
                </c:pt>
                <c:pt idx="165">
                  <c:v>461.12</c:v>
                </c:pt>
                <c:pt idx="166">
                  <c:v>468.72</c:v>
                </c:pt>
                <c:pt idx="167">
                  <c:v>468.84</c:v>
                </c:pt>
                <c:pt idx="168">
                  <c:v>472.62</c:v>
                </c:pt>
                <c:pt idx="169">
                  <c:v>474.66</c:v>
                </c:pt>
                <c:pt idx="170">
                  <c:v>476.65</c:v>
                </c:pt>
                <c:pt idx="171">
                  <c:v>480.51</c:v>
                </c:pt>
                <c:pt idx="172">
                  <c:v>481.96</c:v>
                </c:pt>
                <c:pt idx="173">
                  <c:v>484.35</c:v>
                </c:pt>
                <c:pt idx="174">
                  <c:v>487.36</c:v>
                </c:pt>
                <c:pt idx="175">
                  <c:v>492.5</c:v>
                </c:pt>
                <c:pt idx="176">
                  <c:v>497.99</c:v>
                </c:pt>
                <c:pt idx="177">
                  <c:v>500.1</c:v>
                </c:pt>
                <c:pt idx="178">
                  <c:v>511.14</c:v>
                </c:pt>
                <c:pt idx="179">
                  <c:v>513.38</c:v>
                </c:pt>
                <c:pt idx="180">
                  <c:v>526</c:v>
                </c:pt>
                <c:pt idx="181">
                  <c:v>531.05999999999995</c:v>
                </c:pt>
                <c:pt idx="182">
                  <c:v>542.62</c:v>
                </c:pt>
                <c:pt idx="183">
                  <c:v>551.98</c:v>
                </c:pt>
                <c:pt idx="184">
                  <c:v>553.29999999999995</c:v>
                </c:pt>
                <c:pt idx="185">
                  <c:v>556.30999999999995</c:v>
                </c:pt>
                <c:pt idx="186">
                  <c:v>562.82000000000005</c:v>
                </c:pt>
                <c:pt idx="187">
                  <c:v>581.16</c:v>
                </c:pt>
                <c:pt idx="188">
                  <c:v>581.5</c:v>
                </c:pt>
                <c:pt idx="189">
                  <c:v>582.55999999999995</c:v>
                </c:pt>
                <c:pt idx="190">
                  <c:v>586.14</c:v>
                </c:pt>
                <c:pt idx="191">
                  <c:v>649.04999999999995</c:v>
                </c:pt>
                <c:pt idx="192">
                  <c:v>649.79</c:v>
                </c:pt>
                <c:pt idx="193">
                  <c:v>672.38</c:v>
                </c:pt>
                <c:pt idx="194">
                  <c:v>675.5</c:v>
                </c:pt>
                <c:pt idx="195">
                  <c:v>680.18</c:v>
                </c:pt>
                <c:pt idx="196">
                  <c:v>692.05</c:v>
                </c:pt>
                <c:pt idx="197">
                  <c:v>746.74</c:v>
                </c:pt>
                <c:pt idx="198">
                  <c:v>769.46</c:v>
                </c:pt>
              </c:numCache>
            </c:numRef>
          </c:yVal>
          <c:smooth val="0"/>
          <c:extLst>
            <c:ext xmlns:c16="http://schemas.microsoft.com/office/drawing/2014/chart" uri="{C3380CC4-5D6E-409C-BE32-E72D297353CC}">
              <c16:uniqueId val="{00000001-A41D-4820-910A-5F4E60B20665}"/>
            </c:ext>
          </c:extLst>
        </c:ser>
        <c:dLbls>
          <c:showLegendKey val="0"/>
          <c:showVal val="0"/>
          <c:showCatName val="0"/>
          <c:showSerName val="0"/>
          <c:showPercent val="0"/>
          <c:showBubbleSize val="0"/>
        </c:dLbls>
        <c:axId val="432756288"/>
        <c:axId val="432757248"/>
      </c:scatterChart>
      <c:valAx>
        <c:axId val="432756288"/>
        <c:scaling>
          <c:orientation val="minMax"/>
        </c:scaling>
        <c:delete val="0"/>
        <c:axPos val="b"/>
        <c:title>
          <c:tx>
            <c:rich>
              <a:bodyPr/>
              <a:lstStyle/>
              <a:p>
                <a:pPr>
                  <a:defRPr/>
                </a:pPr>
                <a:r>
                  <a:rPr lang="en-IN"/>
                  <a:t>Sample Percentile</a:t>
                </a:r>
              </a:p>
            </c:rich>
          </c:tx>
          <c:overlay val="0"/>
        </c:title>
        <c:numFmt formatCode="0.00" sourceLinked="1"/>
        <c:majorTickMark val="out"/>
        <c:minorTickMark val="none"/>
        <c:tickLblPos val="nextTo"/>
        <c:crossAx val="432757248"/>
        <c:crosses val="autoZero"/>
        <c:crossBetween val="midCat"/>
      </c:valAx>
      <c:valAx>
        <c:axId val="432757248"/>
        <c:scaling>
          <c:orientation val="minMax"/>
        </c:scaling>
        <c:delete val="0"/>
        <c:axPos val="l"/>
        <c:title>
          <c:tx>
            <c:rich>
              <a:bodyPr/>
              <a:lstStyle/>
              <a:p>
                <a:pPr>
                  <a:defRPr/>
                </a:pPr>
                <a:r>
                  <a:rPr lang="en-IN"/>
                  <a:t>331.55</a:t>
                </a:r>
              </a:p>
            </c:rich>
          </c:tx>
          <c:overlay val="0"/>
        </c:title>
        <c:numFmt formatCode="General" sourceLinked="1"/>
        <c:majorTickMark val="out"/>
        <c:minorTickMark val="none"/>
        <c:tickLblPos val="nextTo"/>
        <c:crossAx val="432756288"/>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 2 Analyzer.xlsx]Sales by region and product!PivotTable3</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by region and product'!$C$4:$C$5</c:f>
              <c:strCache>
                <c:ptCount val="1"/>
                <c:pt idx="0">
                  <c:v>Central</c:v>
                </c:pt>
              </c:strCache>
            </c:strRef>
          </c:tx>
          <c:spPr>
            <a:solidFill>
              <a:schemeClr val="accent1"/>
            </a:solidFill>
            <a:ln>
              <a:noFill/>
            </a:ln>
            <a:effectLst/>
          </c:spPr>
          <c:invertIfNegative val="0"/>
          <c:cat>
            <c:strRef>
              <c:f>'Sales by region and product'!$B$6:$B$11</c:f>
              <c:strCache>
                <c:ptCount val="5"/>
                <c:pt idx="0">
                  <c:v>Books</c:v>
                </c:pt>
                <c:pt idx="1">
                  <c:v>Clothing</c:v>
                </c:pt>
                <c:pt idx="2">
                  <c:v>Electronics</c:v>
                </c:pt>
                <c:pt idx="3">
                  <c:v>Furniture</c:v>
                </c:pt>
                <c:pt idx="4">
                  <c:v>Office Supplies</c:v>
                </c:pt>
              </c:strCache>
            </c:strRef>
          </c:cat>
          <c:val>
            <c:numRef>
              <c:f>'Sales by region and product'!$C$6:$C$11</c:f>
              <c:numCache>
                <c:formatCode>General</c:formatCode>
                <c:ptCount val="5"/>
                <c:pt idx="0">
                  <c:v>11297.150000000001</c:v>
                </c:pt>
                <c:pt idx="1">
                  <c:v>12200.26</c:v>
                </c:pt>
                <c:pt idx="2">
                  <c:v>6621.24</c:v>
                </c:pt>
                <c:pt idx="3">
                  <c:v>4876.96</c:v>
                </c:pt>
                <c:pt idx="4">
                  <c:v>8472.7199999999993</c:v>
                </c:pt>
              </c:numCache>
            </c:numRef>
          </c:val>
          <c:extLst>
            <c:ext xmlns:c16="http://schemas.microsoft.com/office/drawing/2014/chart" uri="{C3380CC4-5D6E-409C-BE32-E72D297353CC}">
              <c16:uniqueId val="{00000000-0699-4F96-A1CC-9ECB3C54E03F}"/>
            </c:ext>
          </c:extLst>
        </c:ser>
        <c:ser>
          <c:idx val="1"/>
          <c:order val="1"/>
          <c:tx>
            <c:strRef>
              <c:f>'Sales by region and product'!$D$4:$D$5</c:f>
              <c:strCache>
                <c:ptCount val="1"/>
                <c:pt idx="0">
                  <c:v>East</c:v>
                </c:pt>
              </c:strCache>
            </c:strRef>
          </c:tx>
          <c:spPr>
            <a:solidFill>
              <a:schemeClr val="accent2"/>
            </a:solidFill>
            <a:ln>
              <a:noFill/>
            </a:ln>
            <a:effectLst/>
          </c:spPr>
          <c:invertIfNegative val="0"/>
          <c:cat>
            <c:strRef>
              <c:f>'Sales by region and product'!$B$6:$B$11</c:f>
              <c:strCache>
                <c:ptCount val="5"/>
                <c:pt idx="0">
                  <c:v>Books</c:v>
                </c:pt>
                <c:pt idx="1">
                  <c:v>Clothing</c:v>
                </c:pt>
                <c:pt idx="2">
                  <c:v>Electronics</c:v>
                </c:pt>
                <c:pt idx="3">
                  <c:v>Furniture</c:v>
                </c:pt>
                <c:pt idx="4">
                  <c:v>Office Supplies</c:v>
                </c:pt>
              </c:strCache>
            </c:strRef>
          </c:cat>
          <c:val>
            <c:numRef>
              <c:f>'Sales by region and product'!$D$6:$D$11</c:f>
              <c:numCache>
                <c:formatCode>General</c:formatCode>
                <c:ptCount val="5"/>
                <c:pt idx="0">
                  <c:v>11389.090000000002</c:v>
                </c:pt>
                <c:pt idx="1">
                  <c:v>2401.4499999999998</c:v>
                </c:pt>
                <c:pt idx="2">
                  <c:v>2869.54</c:v>
                </c:pt>
                <c:pt idx="3">
                  <c:v>7592.3399999999992</c:v>
                </c:pt>
                <c:pt idx="4">
                  <c:v>8189.2200000000012</c:v>
                </c:pt>
              </c:numCache>
            </c:numRef>
          </c:val>
          <c:extLst>
            <c:ext xmlns:c16="http://schemas.microsoft.com/office/drawing/2014/chart" uri="{C3380CC4-5D6E-409C-BE32-E72D297353CC}">
              <c16:uniqueId val="{00000006-0699-4F96-A1CC-9ECB3C54E03F}"/>
            </c:ext>
          </c:extLst>
        </c:ser>
        <c:ser>
          <c:idx val="2"/>
          <c:order val="2"/>
          <c:tx>
            <c:strRef>
              <c:f>'Sales by region and product'!$E$4:$E$5</c:f>
              <c:strCache>
                <c:ptCount val="1"/>
                <c:pt idx="0">
                  <c:v>North</c:v>
                </c:pt>
              </c:strCache>
            </c:strRef>
          </c:tx>
          <c:spPr>
            <a:solidFill>
              <a:schemeClr val="accent3"/>
            </a:solidFill>
            <a:ln>
              <a:noFill/>
            </a:ln>
            <a:effectLst/>
          </c:spPr>
          <c:invertIfNegative val="0"/>
          <c:cat>
            <c:strRef>
              <c:f>'Sales by region and product'!$B$6:$B$11</c:f>
              <c:strCache>
                <c:ptCount val="5"/>
                <c:pt idx="0">
                  <c:v>Books</c:v>
                </c:pt>
                <c:pt idx="1">
                  <c:v>Clothing</c:v>
                </c:pt>
                <c:pt idx="2">
                  <c:v>Electronics</c:v>
                </c:pt>
                <c:pt idx="3">
                  <c:v>Furniture</c:v>
                </c:pt>
                <c:pt idx="4">
                  <c:v>Office Supplies</c:v>
                </c:pt>
              </c:strCache>
            </c:strRef>
          </c:cat>
          <c:val>
            <c:numRef>
              <c:f>'Sales by region and product'!$E$6:$E$11</c:f>
              <c:numCache>
                <c:formatCode>General</c:formatCode>
                <c:ptCount val="5"/>
                <c:pt idx="0">
                  <c:v>8037.0100000000011</c:v>
                </c:pt>
                <c:pt idx="1">
                  <c:v>8422.82</c:v>
                </c:pt>
                <c:pt idx="2">
                  <c:v>8191.7099999999991</c:v>
                </c:pt>
                <c:pt idx="3">
                  <c:v>6978.08</c:v>
                </c:pt>
                <c:pt idx="4">
                  <c:v>3345.8</c:v>
                </c:pt>
              </c:numCache>
            </c:numRef>
          </c:val>
          <c:extLst>
            <c:ext xmlns:c16="http://schemas.microsoft.com/office/drawing/2014/chart" uri="{C3380CC4-5D6E-409C-BE32-E72D297353CC}">
              <c16:uniqueId val="{00000007-0699-4F96-A1CC-9ECB3C54E03F}"/>
            </c:ext>
          </c:extLst>
        </c:ser>
        <c:ser>
          <c:idx val="3"/>
          <c:order val="3"/>
          <c:tx>
            <c:strRef>
              <c:f>'Sales by region and product'!$F$4:$F$5</c:f>
              <c:strCache>
                <c:ptCount val="1"/>
                <c:pt idx="0">
                  <c:v>South</c:v>
                </c:pt>
              </c:strCache>
            </c:strRef>
          </c:tx>
          <c:spPr>
            <a:solidFill>
              <a:schemeClr val="accent4"/>
            </a:solidFill>
            <a:ln>
              <a:noFill/>
            </a:ln>
            <a:effectLst/>
          </c:spPr>
          <c:invertIfNegative val="0"/>
          <c:cat>
            <c:strRef>
              <c:f>'Sales by region and product'!$B$6:$B$11</c:f>
              <c:strCache>
                <c:ptCount val="5"/>
                <c:pt idx="0">
                  <c:v>Books</c:v>
                </c:pt>
                <c:pt idx="1">
                  <c:v>Clothing</c:v>
                </c:pt>
                <c:pt idx="2">
                  <c:v>Electronics</c:v>
                </c:pt>
                <c:pt idx="3">
                  <c:v>Furniture</c:v>
                </c:pt>
                <c:pt idx="4">
                  <c:v>Office Supplies</c:v>
                </c:pt>
              </c:strCache>
            </c:strRef>
          </c:cat>
          <c:val>
            <c:numRef>
              <c:f>'Sales by region and product'!$F$6:$F$11</c:f>
              <c:numCache>
                <c:formatCode>General</c:formatCode>
                <c:ptCount val="5"/>
                <c:pt idx="0">
                  <c:v>9588.0400000000009</c:v>
                </c:pt>
                <c:pt idx="1">
                  <c:v>8393.630000000001</c:v>
                </c:pt>
                <c:pt idx="2">
                  <c:v>11989.070000000003</c:v>
                </c:pt>
                <c:pt idx="3">
                  <c:v>7982.73</c:v>
                </c:pt>
                <c:pt idx="4">
                  <c:v>2295.3199999999997</c:v>
                </c:pt>
              </c:numCache>
            </c:numRef>
          </c:val>
          <c:extLst>
            <c:ext xmlns:c16="http://schemas.microsoft.com/office/drawing/2014/chart" uri="{C3380CC4-5D6E-409C-BE32-E72D297353CC}">
              <c16:uniqueId val="{00000008-0699-4F96-A1CC-9ECB3C54E03F}"/>
            </c:ext>
          </c:extLst>
        </c:ser>
        <c:ser>
          <c:idx val="4"/>
          <c:order val="4"/>
          <c:tx>
            <c:strRef>
              <c:f>'Sales by region and product'!$G$4:$G$5</c:f>
              <c:strCache>
                <c:ptCount val="1"/>
                <c:pt idx="0">
                  <c:v>West</c:v>
                </c:pt>
              </c:strCache>
            </c:strRef>
          </c:tx>
          <c:spPr>
            <a:solidFill>
              <a:schemeClr val="accent5"/>
            </a:solidFill>
            <a:ln>
              <a:noFill/>
            </a:ln>
            <a:effectLst/>
          </c:spPr>
          <c:invertIfNegative val="0"/>
          <c:cat>
            <c:strRef>
              <c:f>'Sales by region and product'!$B$6:$B$11</c:f>
              <c:strCache>
                <c:ptCount val="5"/>
                <c:pt idx="0">
                  <c:v>Books</c:v>
                </c:pt>
                <c:pt idx="1">
                  <c:v>Clothing</c:v>
                </c:pt>
                <c:pt idx="2">
                  <c:v>Electronics</c:v>
                </c:pt>
                <c:pt idx="3">
                  <c:v>Furniture</c:v>
                </c:pt>
                <c:pt idx="4">
                  <c:v>Office Supplies</c:v>
                </c:pt>
              </c:strCache>
            </c:strRef>
          </c:cat>
          <c:val>
            <c:numRef>
              <c:f>'Sales by region and product'!$G$6:$G$11</c:f>
              <c:numCache>
                <c:formatCode>General</c:formatCode>
                <c:ptCount val="5"/>
                <c:pt idx="0">
                  <c:v>6691.17</c:v>
                </c:pt>
                <c:pt idx="1">
                  <c:v>10509.429999999998</c:v>
                </c:pt>
                <c:pt idx="2">
                  <c:v>11372.44</c:v>
                </c:pt>
                <c:pt idx="3">
                  <c:v>9182.7800000000007</c:v>
                </c:pt>
                <c:pt idx="4">
                  <c:v>6327.76</c:v>
                </c:pt>
              </c:numCache>
            </c:numRef>
          </c:val>
          <c:extLst>
            <c:ext xmlns:c16="http://schemas.microsoft.com/office/drawing/2014/chart" uri="{C3380CC4-5D6E-409C-BE32-E72D297353CC}">
              <c16:uniqueId val="{00000009-0699-4F96-A1CC-9ECB3C54E03F}"/>
            </c:ext>
          </c:extLst>
        </c:ser>
        <c:dLbls>
          <c:showLegendKey val="0"/>
          <c:showVal val="0"/>
          <c:showCatName val="0"/>
          <c:showSerName val="0"/>
          <c:showPercent val="0"/>
          <c:showBubbleSize val="0"/>
        </c:dLbls>
        <c:gapWidth val="219"/>
        <c:overlap val="-27"/>
        <c:axId val="517307455"/>
        <c:axId val="517301695"/>
      </c:barChart>
      <c:catAx>
        <c:axId val="5173074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7301695"/>
        <c:crosses val="autoZero"/>
        <c:auto val="1"/>
        <c:lblAlgn val="ctr"/>
        <c:lblOffset val="100"/>
        <c:noMultiLvlLbl val="0"/>
      </c:catAx>
      <c:valAx>
        <c:axId val="5173016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73074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 2 Analyzer.xlsx]KPI!PivotTable6</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Region Wise Sales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KPI!$B$6</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KPI!$A$7:$A$12</c:f>
              <c:strCache>
                <c:ptCount val="5"/>
                <c:pt idx="0">
                  <c:v>Central</c:v>
                </c:pt>
                <c:pt idx="1">
                  <c:v>East</c:v>
                </c:pt>
                <c:pt idx="2">
                  <c:v>North</c:v>
                </c:pt>
                <c:pt idx="3">
                  <c:v>South</c:v>
                </c:pt>
                <c:pt idx="4">
                  <c:v>West</c:v>
                </c:pt>
              </c:strCache>
            </c:strRef>
          </c:cat>
          <c:val>
            <c:numRef>
              <c:f>KPI!$B$7:$B$12</c:f>
              <c:numCache>
                <c:formatCode>General</c:formatCode>
                <c:ptCount val="5"/>
                <c:pt idx="0">
                  <c:v>43468.33</c:v>
                </c:pt>
                <c:pt idx="1">
                  <c:v>32441.64</c:v>
                </c:pt>
                <c:pt idx="2">
                  <c:v>34975.42</c:v>
                </c:pt>
                <c:pt idx="3">
                  <c:v>40248.79</c:v>
                </c:pt>
                <c:pt idx="4">
                  <c:v>44083.58</c:v>
                </c:pt>
              </c:numCache>
            </c:numRef>
          </c:val>
          <c:extLst>
            <c:ext xmlns:c16="http://schemas.microsoft.com/office/drawing/2014/chart" uri="{C3380CC4-5D6E-409C-BE32-E72D297353CC}">
              <c16:uniqueId val="{00000000-BE4A-4BC2-AACA-9CF5304328B5}"/>
            </c:ext>
          </c:extLst>
        </c:ser>
        <c:dLbls>
          <c:showLegendKey val="0"/>
          <c:showVal val="0"/>
          <c:showCatName val="0"/>
          <c:showSerName val="0"/>
          <c:showPercent val="0"/>
          <c:showBubbleSize val="0"/>
        </c:dLbls>
        <c:gapWidth val="150"/>
        <c:shape val="box"/>
        <c:axId val="796885823"/>
        <c:axId val="796881023"/>
        <c:axId val="635076735"/>
      </c:bar3DChart>
      <c:catAx>
        <c:axId val="79688582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96881023"/>
        <c:crosses val="autoZero"/>
        <c:auto val="1"/>
        <c:lblAlgn val="ctr"/>
        <c:lblOffset val="100"/>
        <c:noMultiLvlLbl val="0"/>
      </c:catAx>
      <c:valAx>
        <c:axId val="796881023"/>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96885823"/>
        <c:crosses val="autoZero"/>
        <c:crossBetween val="between"/>
      </c:valAx>
      <c:serAx>
        <c:axId val="635076735"/>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96881023"/>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 2 Analyzer.xlsx]KPI!PivotTable8</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Monthly Sales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4.3391546239404284E-2"/>
              <c:y val="-0.1127450980392156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5.093790210712678E-2"/>
              <c:y val="0.1274509803921568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6.2257435908710489E-2"/>
              <c:y val="-0.147058823529411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4.9051313140196139E-2"/>
              <c:y val="0.1421568627450980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3.9618368305543106E-2"/>
              <c:y val="-0.1078431372549019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5.659766900791862E-2"/>
              <c:y val="0.1225490196078431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3.2072012437820555E-2"/>
              <c:y val="-0.1225490196078432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5.0937902107126828E-2"/>
              <c:y val="8.333333333333324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3.5845190371681865E-2"/>
              <c:y val="0.1568627450980392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4.5278135206334898E-2"/>
              <c:y val="-0.1519607843137254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4.7164724173265518E-2"/>
              <c:y val="0.1470588235294117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KPI!$J$3</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Pt>
            <c:idx val="0"/>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bubble3D val="0"/>
            <c:spPr>
              <a:ln w="34925" cap="rnd">
                <a:solidFill>
                  <a:schemeClr val="accent1"/>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2-7A42-40E4-A103-3DF7FEFD7EDC}"/>
              </c:ext>
            </c:extLst>
          </c:dPt>
          <c:dPt>
            <c:idx val="1"/>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bubble3D val="0"/>
            <c:spPr>
              <a:ln w="34925" cap="rnd">
                <a:solidFill>
                  <a:schemeClr val="accent1"/>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7A42-40E4-A103-3DF7FEFD7EDC}"/>
              </c:ext>
            </c:extLst>
          </c:dPt>
          <c:dPt>
            <c:idx val="2"/>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bubble3D val="0"/>
            <c:spPr>
              <a:ln w="34925" cap="rnd">
                <a:solidFill>
                  <a:schemeClr val="accent1"/>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4-7A42-40E4-A103-3DF7FEFD7EDC}"/>
              </c:ext>
            </c:extLst>
          </c:dPt>
          <c:dPt>
            <c:idx val="3"/>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bubble3D val="0"/>
            <c:spPr>
              <a:ln w="34925" cap="rnd">
                <a:solidFill>
                  <a:schemeClr val="accent1"/>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7A42-40E4-A103-3DF7FEFD7EDC}"/>
              </c:ext>
            </c:extLst>
          </c:dPt>
          <c:dPt>
            <c:idx val="4"/>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bubble3D val="0"/>
            <c:spPr>
              <a:ln w="34925" cap="rnd">
                <a:solidFill>
                  <a:schemeClr val="accent1"/>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6-7A42-40E4-A103-3DF7FEFD7EDC}"/>
              </c:ext>
            </c:extLst>
          </c:dPt>
          <c:dPt>
            <c:idx val="5"/>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bubble3D val="0"/>
            <c:spPr>
              <a:ln w="34925" cap="rnd">
                <a:solidFill>
                  <a:schemeClr val="accent1"/>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7A42-40E4-A103-3DF7FEFD7EDC}"/>
              </c:ext>
            </c:extLst>
          </c:dPt>
          <c:dPt>
            <c:idx val="6"/>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bubble3D val="0"/>
            <c:spPr>
              <a:ln w="34925" cap="rnd">
                <a:solidFill>
                  <a:schemeClr val="accent1"/>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8-7A42-40E4-A103-3DF7FEFD7EDC}"/>
              </c:ext>
            </c:extLst>
          </c:dPt>
          <c:dPt>
            <c:idx val="7"/>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bubble3D val="0"/>
            <c:spPr>
              <a:ln w="34925" cap="rnd">
                <a:solidFill>
                  <a:schemeClr val="accent1"/>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7A42-40E4-A103-3DF7FEFD7EDC}"/>
              </c:ext>
            </c:extLst>
          </c:dPt>
          <c:dPt>
            <c:idx val="8"/>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bubble3D val="0"/>
            <c:spPr>
              <a:ln w="34925" cap="rnd">
                <a:solidFill>
                  <a:schemeClr val="accent1"/>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A-7A42-40E4-A103-3DF7FEFD7EDC}"/>
              </c:ext>
            </c:extLst>
          </c:dPt>
          <c:dPt>
            <c:idx val="9"/>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bubble3D val="0"/>
            <c:spPr>
              <a:ln w="34925" cap="rnd">
                <a:solidFill>
                  <a:schemeClr val="accent1"/>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7A42-40E4-A103-3DF7FEFD7EDC}"/>
              </c:ext>
            </c:extLst>
          </c:dPt>
          <c:dPt>
            <c:idx val="10"/>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bubble3D val="0"/>
            <c:spPr>
              <a:ln w="34925" cap="rnd">
                <a:solidFill>
                  <a:schemeClr val="accent1"/>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C-7A42-40E4-A103-3DF7FEFD7EDC}"/>
              </c:ext>
            </c:extLst>
          </c:dPt>
          <c:dLbls>
            <c:dLbl>
              <c:idx val="0"/>
              <c:layout>
                <c:manualLayout>
                  <c:x val="-4.3391546239404284E-2"/>
                  <c:y val="-0.1127450980392156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7A42-40E4-A103-3DF7FEFD7EDC}"/>
                </c:ext>
              </c:extLst>
            </c:dLbl>
            <c:dLbl>
              <c:idx val="1"/>
              <c:layout>
                <c:manualLayout>
                  <c:x val="-5.093790210712678E-2"/>
                  <c:y val="0.1274509803921568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A42-40E4-A103-3DF7FEFD7EDC}"/>
                </c:ext>
              </c:extLst>
            </c:dLbl>
            <c:dLbl>
              <c:idx val="2"/>
              <c:layout>
                <c:manualLayout>
                  <c:x val="-6.2257435908710489E-2"/>
                  <c:y val="-0.147058823529411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7A42-40E4-A103-3DF7FEFD7EDC}"/>
                </c:ext>
              </c:extLst>
            </c:dLbl>
            <c:dLbl>
              <c:idx val="3"/>
              <c:layout>
                <c:manualLayout>
                  <c:x val="-4.9051313140196139E-2"/>
                  <c:y val="0.1421568627450980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A42-40E4-A103-3DF7FEFD7EDC}"/>
                </c:ext>
              </c:extLst>
            </c:dLbl>
            <c:dLbl>
              <c:idx val="4"/>
              <c:layout>
                <c:manualLayout>
                  <c:x val="-3.9618368305543106E-2"/>
                  <c:y val="-0.1078431372549019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7A42-40E4-A103-3DF7FEFD7EDC}"/>
                </c:ext>
              </c:extLst>
            </c:dLbl>
            <c:dLbl>
              <c:idx val="5"/>
              <c:layout>
                <c:manualLayout>
                  <c:x val="-5.659766900791862E-2"/>
                  <c:y val="0.1225490196078431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7A42-40E4-A103-3DF7FEFD7EDC}"/>
                </c:ext>
              </c:extLst>
            </c:dLbl>
            <c:dLbl>
              <c:idx val="6"/>
              <c:layout>
                <c:manualLayout>
                  <c:x val="-3.2072012437820555E-2"/>
                  <c:y val="-0.1225490196078432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7A42-40E4-A103-3DF7FEFD7EDC}"/>
                </c:ext>
              </c:extLst>
            </c:dLbl>
            <c:dLbl>
              <c:idx val="7"/>
              <c:layout>
                <c:manualLayout>
                  <c:x val="-5.0937902107126828E-2"/>
                  <c:y val="8.333333333333324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7A42-40E4-A103-3DF7FEFD7EDC}"/>
                </c:ext>
              </c:extLst>
            </c:dLbl>
            <c:dLbl>
              <c:idx val="8"/>
              <c:layout>
                <c:manualLayout>
                  <c:x val="-3.5845190371681865E-2"/>
                  <c:y val="0.1568627450980392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7A42-40E4-A103-3DF7FEFD7EDC}"/>
                </c:ext>
              </c:extLst>
            </c:dLbl>
            <c:dLbl>
              <c:idx val="9"/>
              <c:layout>
                <c:manualLayout>
                  <c:x val="-4.5278135206334898E-2"/>
                  <c:y val="-0.1519607843137254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7A42-40E4-A103-3DF7FEFD7EDC}"/>
                </c:ext>
              </c:extLst>
            </c:dLbl>
            <c:dLbl>
              <c:idx val="10"/>
              <c:layout>
                <c:manualLayout>
                  <c:x val="-4.7164724173265518E-2"/>
                  <c:y val="0.1470588235294117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7A42-40E4-A103-3DF7FEFD7ED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KPI!$I$4:$I$16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KPI!$J$4:$J$16</c:f>
              <c:numCache>
                <c:formatCode>General</c:formatCode>
                <c:ptCount val="12"/>
                <c:pt idx="0">
                  <c:v>14914.650000000001</c:v>
                </c:pt>
                <c:pt idx="1">
                  <c:v>14006.359999999999</c:v>
                </c:pt>
                <c:pt idx="2">
                  <c:v>17655.219999999998</c:v>
                </c:pt>
                <c:pt idx="3">
                  <c:v>22242.129999999997</c:v>
                </c:pt>
                <c:pt idx="4">
                  <c:v>18507.339999999997</c:v>
                </c:pt>
                <c:pt idx="5">
                  <c:v>20187.509999999998</c:v>
                </c:pt>
                <c:pt idx="6">
                  <c:v>11609.039999999999</c:v>
                </c:pt>
                <c:pt idx="7">
                  <c:v>10091.699999999999</c:v>
                </c:pt>
                <c:pt idx="8">
                  <c:v>20533.499999999996</c:v>
                </c:pt>
                <c:pt idx="9">
                  <c:v>14215.240000000002</c:v>
                </c:pt>
                <c:pt idx="10">
                  <c:v>20135.030000000002</c:v>
                </c:pt>
                <c:pt idx="11">
                  <c:v>11120.04</c:v>
                </c:pt>
              </c:numCache>
            </c:numRef>
          </c:val>
          <c:smooth val="0"/>
          <c:extLst>
            <c:ext xmlns:c16="http://schemas.microsoft.com/office/drawing/2014/chart" uri="{C3380CC4-5D6E-409C-BE32-E72D297353CC}">
              <c16:uniqueId val="{00000000-7A42-40E4-A103-3DF7FEFD7EDC}"/>
            </c:ext>
          </c:extLst>
        </c:ser>
        <c:dLbls>
          <c:showLegendKey val="0"/>
          <c:showVal val="1"/>
          <c:showCatName val="0"/>
          <c:showSerName val="0"/>
          <c:showPercent val="0"/>
          <c:showBubbleSize val="0"/>
        </c:dLbls>
        <c:marker val="1"/>
        <c:smooth val="0"/>
        <c:axId val="796762943"/>
        <c:axId val="796765343"/>
      </c:lineChart>
      <c:catAx>
        <c:axId val="796762943"/>
        <c:scaling>
          <c:orientation val="minMax"/>
        </c:scaling>
        <c:delete val="0"/>
        <c:axPos val="b"/>
        <c:minorGridlines>
          <c:spPr>
            <a:ln>
              <a:solidFill>
                <a:schemeClr val="lt1">
                  <a:lumMod val="95000"/>
                  <a:alpha val="5000"/>
                </a:schemeClr>
              </a:solidFill>
            </a:ln>
            <a:effectLst/>
          </c:spPr>
        </c:minorGridlines>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96765343"/>
        <c:crosses val="autoZero"/>
        <c:auto val="1"/>
        <c:lblAlgn val="ctr"/>
        <c:lblOffset val="100"/>
        <c:noMultiLvlLbl val="0"/>
      </c:catAx>
      <c:valAx>
        <c:axId val="796765343"/>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967629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 2 Analyzer.xlsx]KPI!PivotTable9</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Category Wise Sale</a:t>
            </a:r>
          </a:p>
        </c:rich>
      </c:tx>
      <c:layout>
        <c:manualLayout>
          <c:xMode val="edge"/>
          <c:yMode val="edge"/>
          <c:x val="0.33910357956548254"/>
          <c:y val="3.1139555843603478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solidFill>
              <a:srgbClr val="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5.1302935982194632E-2"/>
              <c:y val="1.3779524711280982E-2"/>
            </c:manualLayout>
          </c:layout>
          <c:spPr>
            <a:solidFill>
              <a:srgbClr val="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6.0803479682600907E-2"/>
              <c:y val="-9.1863498075206752E-3"/>
            </c:manualLayout>
          </c:layout>
          <c:spPr>
            <a:solidFill>
              <a:srgbClr val="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4.3702501021869518E-2"/>
              <c:y val="-4.5931749037603272E-3"/>
            </c:manualLayout>
          </c:layout>
          <c:spPr>
            <a:solidFill>
              <a:srgbClr val="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5.7003262202438487E-3"/>
          <c:y val="0.17596236055916661"/>
          <c:w val="0.87934309500483854"/>
          <c:h val="0.75973319078818879"/>
        </c:manualLayout>
      </c:layout>
      <c:pie3DChart>
        <c:varyColors val="1"/>
        <c:ser>
          <c:idx val="0"/>
          <c:order val="0"/>
          <c:tx>
            <c:strRef>
              <c:f>KPI!$V$5</c:f>
              <c:strCache>
                <c:ptCount val="1"/>
                <c:pt idx="0">
                  <c:v>Total</c:v>
                </c:pt>
              </c:strCache>
            </c:strRef>
          </c:tx>
          <c:explosion val="27"/>
          <c:dPt>
            <c:idx val="0"/>
            <c:bubble3D val="0"/>
            <c:explosion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4-67AA-43DF-9FE3-2F6F812636FD}"/>
              </c:ext>
            </c:extLst>
          </c:dPt>
          <c:dPt>
            <c:idx val="1"/>
            <c:bubble3D val="0"/>
            <c:explosion val="1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67AA-43DF-9FE3-2F6F812636FD}"/>
              </c:ext>
            </c:extLst>
          </c:dPt>
          <c:dPt>
            <c:idx val="2"/>
            <c:bubble3D val="0"/>
            <c:explosion val="1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67AA-43DF-9FE3-2F6F812636FD}"/>
              </c:ext>
            </c:extLst>
          </c:dPt>
          <c:dPt>
            <c:idx val="3"/>
            <c:bubble3D val="0"/>
            <c:explosion val="17"/>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6-67AA-43DF-9FE3-2F6F812636FD}"/>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7-67AA-43DF-9FE3-2F6F812636FD}"/>
              </c:ext>
            </c:extLst>
          </c:dPt>
          <c:dLbls>
            <c:dLbl>
              <c:idx val="0"/>
              <c:layout>
                <c:manualLayout>
                  <c:x val="6.0803479682600907E-2"/>
                  <c:y val="-9.1863498075206752E-3"/>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4-67AA-43DF-9FE3-2F6F812636FD}"/>
                </c:ext>
              </c:extLst>
            </c:dLbl>
            <c:dLbl>
              <c:idx val="3"/>
              <c:layout>
                <c:manualLayout>
                  <c:x val="-4.3702501021869518E-2"/>
                  <c:y val="-4.5931749037603272E-3"/>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6-67AA-43DF-9FE3-2F6F812636FD}"/>
                </c:ext>
              </c:extLst>
            </c:dLbl>
            <c:dLbl>
              <c:idx val="4"/>
              <c:layout>
                <c:manualLayout>
                  <c:x val="-5.1302935982194632E-2"/>
                  <c:y val="1.3779524711280982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67AA-43DF-9FE3-2F6F812636FD}"/>
                </c:ext>
              </c:extLst>
            </c:dLbl>
            <c:spPr>
              <a:solidFill>
                <a:srgbClr val="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KPI!$U$6:$U$11</c:f>
              <c:strCache>
                <c:ptCount val="5"/>
                <c:pt idx="0">
                  <c:v>Books</c:v>
                </c:pt>
                <c:pt idx="1">
                  <c:v>Clothing</c:v>
                </c:pt>
                <c:pt idx="2">
                  <c:v>Electronics</c:v>
                </c:pt>
                <c:pt idx="3">
                  <c:v>Furniture</c:v>
                </c:pt>
                <c:pt idx="4">
                  <c:v>Office Supplies</c:v>
                </c:pt>
              </c:strCache>
            </c:strRef>
          </c:cat>
          <c:val>
            <c:numRef>
              <c:f>KPI!$V$6:$V$11</c:f>
              <c:numCache>
                <c:formatCode>General</c:formatCode>
                <c:ptCount val="5"/>
                <c:pt idx="0">
                  <c:v>47002.460000000006</c:v>
                </c:pt>
                <c:pt idx="1">
                  <c:v>41927.589999999989</c:v>
                </c:pt>
                <c:pt idx="2">
                  <c:v>41044.000000000007</c:v>
                </c:pt>
                <c:pt idx="3">
                  <c:v>36612.89</c:v>
                </c:pt>
                <c:pt idx="4">
                  <c:v>28630.819999999992</c:v>
                </c:pt>
              </c:numCache>
            </c:numRef>
          </c:val>
          <c:extLst>
            <c:ext xmlns:c16="http://schemas.microsoft.com/office/drawing/2014/chart" uri="{C3380CC4-5D6E-409C-BE32-E72D297353CC}">
              <c16:uniqueId val="{00000000-67AA-43DF-9FE3-2F6F812636FD}"/>
            </c:ext>
          </c:extLst>
        </c:ser>
        <c:dLbls>
          <c:showLegendKey val="0"/>
          <c:showVal val="0"/>
          <c:showCatName val="0"/>
          <c:showSerName val="0"/>
          <c:showPercent val="0"/>
          <c:showBubbleSize val="0"/>
          <c:showLeaderLines val="0"/>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5.xml.rels><?xml version="1.0" encoding="UTF-8" standalone="yes"?>
<Relationships xmlns="http://schemas.openxmlformats.org/package/2006/relationships"><Relationship Id="rId3" Type="http://schemas.openxmlformats.org/officeDocument/2006/relationships/chart" Target="../charts/chart13.xml"/><Relationship Id="rId2" Type="http://schemas.openxmlformats.org/officeDocument/2006/relationships/chart" Target="../charts/chart12.xml"/><Relationship Id="rId1"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editAs="oneCell">
    <xdr:from>
      <xdr:col>20</xdr:col>
      <xdr:colOff>268056</xdr:colOff>
      <xdr:row>0</xdr:row>
      <xdr:rowOff>138545</xdr:rowOff>
    </xdr:from>
    <xdr:to>
      <xdr:col>29</xdr:col>
      <xdr:colOff>167284</xdr:colOff>
      <xdr:row>33</xdr:row>
      <xdr:rowOff>110836</xdr:rowOff>
    </xdr:to>
    <xdr:pic>
      <xdr:nvPicPr>
        <xdr:cNvPr id="2" name="Picture 1">
          <a:extLst>
            <a:ext uri="{FF2B5EF4-FFF2-40B4-BE49-F238E27FC236}">
              <a16:creationId xmlns:a16="http://schemas.microsoft.com/office/drawing/2014/main" id="{FD0BAD85-CA6C-FE71-E998-05AB94FB44CC}"/>
            </a:ext>
          </a:extLst>
        </xdr:cNvPr>
        <xdr:cNvPicPr>
          <a:picLocks noChangeAspect="1"/>
        </xdr:cNvPicPr>
      </xdr:nvPicPr>
      <xdr:blipFill>
        <a:blip xmlns:r="http://schemas.openxmlformats.org/officeDocument/2006/relationships" r:embed="rId1"/>
        <a:stretch>
          <a:fillRect/>
        </a:stretch>
      </xdr:blipFill>
      <xdr:spPr>
        <a:xfrm>
          <a:off x="20509547" y="138545"/>
          <a:ext cx="6466283" cy="6096000"/>
        </a:xfrm>
        <a:prstGeom prst="rect">
          <a:avLst/>
        </a:prstGeom>
      </xdr:spPr>
    </xdr:pic>
    <xdr:clientData/>
  </xdr:twoCellAnchor>
  <xdr:twoCellAnchor>
    <xdr:from>
      <xdr:col>16</xdr:col>
      <xdr:colOff>0</xdr:colOff>
      <xdr:row>4</xdr:row>
      <xdr:rowOff>55418</xdr:rowOff>
    </xdr:from>
    <xdr:to>
      <xdr:col>20</xdr:col>
      <xdr:colOff>268056</xdr:colOff>
      <xdr:row>6</xdr:row>
      <xdr:rowOff>0</xdr:rowOff>
    </xdr:to>
    <xdr:cxnSp macro="">
      <xdr:nvCxnSpPr>
        <xdr:cNvPr id="4" name="Straight Arrow Connector 3">
          <a:extLst>
            <a:ext uri="{FF2B5EF4-FFF2-40B4-BE49-F238E27FC236}">
              <a16:creationId xmlns:a16="http://schemas.microsoft.com/office/drawing/2014/main" id="{D13408C8-5A64-D2AE-4F44-0AEFB6CFFF16}"/>
            </a:ext>
          </a:extLst>
        </xdr:cNvPr>
        <xdr:cNvCxnSpPr/>
      </xdr:nvCxnSpPr>
      <xdr:spPr>
        <a:xfrm>
          <a:off x="17401309" y="775854"/>
          <a:ext cx="3108238" cy="304801"/>
        </a:xfrm>
        <a:prstGeom prst="straightConnector1">
          <a:avLst/>
        </a:prstGeom>
        <a:ln w="19050" cap="flat" cmpd="sng" algn="ctr">
          <a:solidFill>
            <a:schemeClr val="dk1"/>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352425</xdr:colOff>
      <xdr:row>24</xdr:row>
      <xdr:rowOff>76200</xdr:rowOff>
    </xdr:from>
    <xdr:to>
      <xdr:col>8</xdr:col>
      <xdr:colOff>190500</xdr:colOff>
      <xdr:row>36</xdr:row>
      <xdr:rowOff>76200</xdr:rowOff>
    </xdr:to>
    <mc:AlternateContent xmlns:mc="http://schemas.openxmlformats.org/markup-compatibility/2006" xmlns:a14="http://schemas.microsoft.com/office/drawing/2010/main">
      <mc:Choice Requires="a14">
        <xdr:graphicFrame macro="">
          <xdr:nvGraphicFramePr>
            <xdr:cNvPr id="3" name="Region">
              <a:extLst>
                <a:ext uri="{FF2B5EF4-FFF2-40B4-BE49-F238E27FC236}">
                  <a16:creationId xmlns:a16="http://schemas.microsoft.com/office/drawing/2014/main" id="{F3968D22-602C-4B09-932A-1F372B0A0ED2}"/>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3600242" y="4708451"/>
              <a:ext cx="1373394" cy="167449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390525</xdr:colOff>
      <xdr:row>5</xdr:row>
      <xdr:rowOff>114300</xdr:rowOff>
    </xdr:from>
    <xdr:to>
      <xdr:col>14</xdr:col>
      <xdr:colOff>94899</xdr:colOff>
      <xdr:row>12</xdr:row>
      <xdr:rowOff>45719</xdr:rowOff>
    </xdr:to>
    <mc:AlternateContent xmlns:mc="http://schemas.openxmlformats.org/markup-compatibility/2006" xmlns:a14="http://schemas.microsoft.com/office/drawing/2010/main">
      <mc:Choice Requires="a14">
        <xdr:graphicFrame macro="">
          <xdr:nvGraphicFramePr>
            <xdr:cNvPr id="4" name="Months (Order_Date)">
              <a:extLst>
                <a:ext uri="{FF2B5EF4-FFF2-40B4-BE49-F238E27FC236}">
                  <a16:creationId xmlns:a16="http://schemas.microsoft.com/office/drawing/2014/main" id="{AC4DB304-323F-4B68-A60D-2CFB9FC23F06}"/>
                </a:ext>
              </a:extLst>
            </xdr:cNvPr>
            <xdr:cNvGraphicFramePr/>
          </xdr:nvGraphicFramePr>
          <xdr:xfrm>
            <a:off x="0" y="0"/>
            <a:ext cx="0" cy="0"/>
          </xdr:xfrm>
          <a:graphic>
            <a:graphicData uri="http://schemas.microsoft.com/office/drawing/2010/slicer">
              <sle:slicer xmlns:sle="http://schemas.microsoft.com/office/drawing/2010/slicer" name="Months (Order_Date)"/>
            </a:graphicData>
          </a:graphic>
        </xdr:graphicFrame>
      </mc:Choice>
      <mc:Fallback xmlns="">
        <xdr:sp macro="" textlink="">
          <xdr:nvSpPr>
            <xdr:cNvPr id="0" name=""/>
            <xdr:cNvSpPr>
              <a:spLocks noTextEdit="1"/>
            </xdr:cNvSpPr>
          </xdr:nvSpPr>
          <xdr:spPr>
            <a:xfrm>
              <a:off x="3603171" y="888555"/>
              <a:ext cx="5026128" cy="118479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371475</xdr:colOff>
      <xdr:row>12</xdr:row>
      <xdr:rowOff>123825</xdr:rowOff>
    </xdr:from>
    <xdr:to>
      <xdr:col>8</xdr:col>
      <xdr:colOff>182880</xdr:colOff>
      <xdr:row>23</xdr:row>
      <xdr:rowOff>171450</xdr:rowOff>
    </xdr:to>
    <mc:AlternateContent xmlns:mc="http://schemas.openxmlformats.org/markup-compatibility/2006">
      <mc:Choice xmlns:a14="http://schemas.microsoft.com/office/drawing/2010/main" Requires="a14">
        <xdr:graphicFrame macro="">
          <xdr:nvGraphicFramePr>
            <xdr:cNvPr id="5" name="Product_Category">
              <a:extLst>
                <a:ext uri="{FF2B5EF4-FFF2-40B4-BE49-F238E27FC236}">
                  <a16:creationId xmlns:a16="http://schemas.microsoft.com/office/drawing/2014/main" id="{FB958463-7DDC-4037-B49C-8228B684AE03}"/>
                </a:ext>
              </a:extLst>
            </xdr:cNvPr>
            <xdr:cNvGraphicFramePr/>
          </xdr:nvGraphicFramePr>
          <xdr:xfrm>
            <a:off x="0" y="0"/>
            <a:ext cx="0" cy="0"/>
          </xdr:xfrm>
          <a:graphic>
            <a:graphicData uri="http://schemas.microsoft.com/office/drawing/2010/slicer">
              <sle:slicer xmlns:sle="http://schemas.microsoft.com/office/drawing/2010/slicer" name="Product_Category"/>
            </a:graphicData>
          </a:graphic>
        </xdr:graphicFrame>
      </mc:Choice>
      <mc:Fallback>
        <xdr:sp macro="" textlink="">
          <xdr:nvSpPr>
            <xdr:cNvPr id="0" name=""/>
            <xdr:cNvSpPr>
              <a:spLocks noTextEdit="1"/>
            </xdr:cNvSpPr>
          </xdr:nvSpPr>
          <xdr:spPr>
            <a:xfrm>
              <a:off x="3429501" y="2289509"/>
              <a:ext cx="1646221" cy="203283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238126</xdr:colOff>
      <xdr:row>12</xdr:row>
      <xdr:rowOff>106089</xdr:rowOff>
    </xdr:from>
    <xdr:to>
      <xdr:col>25</xdr:col>
      <xdr:colOff>161926</xdr:colOff>
      <xdr:row>24</xdr:row>
      <xdr:rowOff>1368</xdr:rowOff>
    </xdr:to>
    <xdr:graphicFrame macro="">
      <xdr:nvGraphicFramePr>
        <xdr:cNvPr id="6" name="Monthwise sales">
          <a:extLst>
            <a:ext uri="{FF2B5EF4-FFF2-40B4-BE49-F238E27FC236}">
              <a16:creationId xmlns:a16="http://schemas.microsoft.com/office/drawing/2014/main" id="{EE6B64F9-724A-456D-8C74-E7550736DE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276226</xdr:colOff>
      <xdr:row>12</xdr:row>
      <xdr:rowOff>112179</xdr:rowOff>
    </xdr:from>
    <xdr:to>
      <xdr:col>15</xdr:col>
      <xdr:colOff>114300</xdr:colOff>
      <xdr:row>23</xdr:row>
      <xdr:rowOff>168498</xdr:rowOff>
    </xdr:to>
    <xdr:graphicFrame macro="">
      <xdr:nvGraphicFramePr>
        <xdr:cNvPr id="8" name="Chart 7">
          <a:extLst>
            <a:ext uri="{FF2B5EF4-FFF2-40B4-BE49-F238E27FC236}">
              <a16:creationId xmlns:a16="http://schemas.microsoft.com/office/drawing/2014/main" id="{AF4F1586-4190-44F7-BC80-19634F1BF8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266377</xdr:colOff>
      <xdr:row>24</xdr:row>
      <xdr:rowOff>76200</xdr:rowOff>
    </xdr:from>
    <xdr:to>
      <xdr:col>13</xdr:col>
      <xdr:colOff>141514</xdr:colOff>
      <xdr:row>36</xdr:row>
      <xdr:rowOff>82628</xdr:rowOff>
    </xdr:to>
    <xdr:graphicFrame macro="">
      <xdr:nvGraphicFramePr>
        <xdr:cNvPr id="9" name="Chart 8">
          <a:extLst>
            <a:ext uri="{FF2B5EF4-FFF2-40B4-BE49-F238E27FC236}">
              <a16:creationId xmlns:a16="http://schemas.microsoft.com/office/drawing/2014/main" id="{B9F1EB4F-975E-4149-A37E-651802CE21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241778</xdr:colOff>
      <xdr:row>24</xdr:row>
      <xdr:rowOff>66675</xdr:rowOff>
    </xdr:from>
    <xdr:to>
      <xdr:col>19</xdr:col>
      <xdr:colOff>538419</xdr:colOff>
      <xdr:row>36</xdr:row>
      <xdr:rowOff>72858</xdr:rowOff>
    </xdr:to>
    <xdr:graphicFrame macro="">
      <xdr:nvGraphicFramePr>
        <xdr:cNvPr id="10" name="Chart 9">
          <a:extLst>
            <a:ext uri="{FF2B5EF4-FFF2-40B4-BE49-F238E27FC236}">
              <a16:creationId xmlns:a16="http://schemas.microsoft.com/office/drawing/2014/main" id="{7D3BC538-E32B-4136-BE82-CFACC5AB42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20</xdr:col>
      <xdr:colOff>21772</xdr:colOff>
      <xdr:row>24</xdr:row>
      <xdr:rowOff>60959</xdr:rowOff>
    </xdr:from>
    <xdr:to>
      <xdr:col>25</xdr:col>
      <xdr:colOff>163286</xdr:colOff>
      <xdr:row>36</xdr:row>
      <xdr:rowOff>68580</xdr:rowOff>
    </xdr:to>
    <xdr:graphicFrame macro="">
      <xdr:nvGraphicFramePr>
        <xdr:cNvPr id="11" name="Chart 10">
          <a:extLst>
            <a:ext uri="{FF2B5EF4-FFF2-40B4-BE49-F238E27FC236}">
              <a16:creationId xmlns:a16="http://schemas.microsoft.com/office/drawing/2014/main" id="{6353AE59-8015-40CB-831B-35AB3C32E9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214082</xdr:colOff>
      <xdr:row>5</xdr:row>
      <xdr:rowOff>144097</xdr:rowOff>
    </xdr:from>
    <xdr:to>
      <xdr:col>16</xdr:col>
      <xdr:colOff>491528</xdr:colOff>
      <xdr:row>12</xdr:row>
      <xdr:rowOff>40717</xdr:rowOff>
    </xdr:to>
    <xdr:sp macro="" textlink="">
      <xdr:nvSpPr>
        <xdr:cNvPr id="13" name="Rectangle: Rounded Corners 12">
          <a:extLst>
            <a:ext uri="{FF2B5EF4-FFF2-40B4-BE49-F238E27FC236}">
              <a16:creationId xmlns:a16="http://schemas.microsoft.com/office/drawing/2014/main" id="{DA83C693-12FE-14BE-599A-9877E02898F4}"/>
            </a:ext>
          </a:extLst>
        </xdr:cNvPr>
        <xdr:cNvSpPr/>
      </xdr:nvSpPr>
      <xdr:spPr>
        <a:xfrm>
          <a:off x="8748482" y="1048972"/>
          <a:ext cx="1496646" cy="1163445"/>
        </a:xfrm>
        <a:prstGeom prst="roundRect">
          <a:avLst/>
        </a:prstGeom>
        <a:solidFill>
          <a:schemeClr val="tx2">
            <a:lumMod val="75000"/>
            <a:lumOff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fontAlgn="b"/>
          <a:r>
            <a:rPr lang="en-IN" sz="1400" b="1" i="0" u="none" strike="noStrike">
              <a:solidFill>
                <a:schemeClr val="lt1"/>
              </a:solidFill>
              <a:effectLst/>
              <a:latin typeface="+mn-lt"/>
              <a:ea typeface="+mn-ea"/>
              <a:cs typeface="+mn-cs"/>
            </a:rPr>
            <a:t>Total sales </a:t>
          </a:r>
        </a:p>
        <a:p>
          <a:pPr algn="ctr"/>
          <a:r>
            <a:rPr lang="en-IN" sz="1800" b="1" i="0" u="none" strike="noStrike">
              <a:solidFill>
                <a:schemeClr val="lt1"/>
              </a:solidFill>
              <a:effectLst/>
              <a:latin typeface="+mn-lt"/>
              <a:ea typeface="+mn-ea"/>
              <a:cs typeface="+mn-cs"/>
            </a:rPr>
            <a:t>195217.8</a:t>
          </a:r>
          <a:r>
            <a:rPr lang="en-IN" sz="1800" b="1">
              <a:effectLst/>
            </a:rPr>
            <a:t> </a:t>
          </a:r>
          <a:endParaRPr lang="en-IN" sz="1800" b="1"/>
        </a:p>
      </xdr:txBody>
    </xdr:sp>
    <xdr:clientData/>
  </xdr:twoCellAnchor>
  <xdr:twoCellAnchor>
    <xdr:from>
      <xdr:col>17</xdr:col>
      <xdr:colOff>75555</xdr:colOff>
      <xdr:row>5</xdr:row>
      <xdr:rowOff>145904</xdr:rowOff>
    </xdr:from>
    <xdr:to>
      <xdr:col>19</xdr:col>
      <xdr:colOff>353001</xdr:colOff>
      <xdr:row>12</xdr:row>
      <xdr:rowOff>42524</xdr:rowOff>
    </xdr:to>
    <xdr:sp macro="" textlink="">
      <xdr:nvSpPr>
        <xdr:cNvPr id="2" name="Rectangle: Rounded Corners 1">
          <a:extLst>
            <a:ext uri="{FF2B5EF4-FFF2-40B4-BE49-F238E27FC236}">
              <a16:creationId xmlns:a16="http://schemas.microsoft.com/office/drawing/2014/main" id="{C86D271C-F738-782F-6542-41E772DA7C4E}"/>
            </a:ext>
          </a:extLst>
        </xdr:cNvPr>
        <xdr:cNvSpPr/>
      </xdr:nvSpPr>
      <xdr:spPr>
        <a:xfrm>
          <a:off x="10438755" y="1050779"/>
          <a:ext cx="1496646" cy="1163445"/>
        </a:xfrm>
        <a:prstGeom prst="roundRect">
          <a:avLst/>
        </a:prstGeom>
        <a:solidFill>
          <a:schemeClr val="tx2">
            <a:lumMod val="75000"/>
            <a:lumOff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fontAlgn="b"/>
          <a:r>
            <a:rPr lang="en-IN" sz="1400" b="1" i="0" u="none" strike="noStrike">
              <a:solidFill>
                <a:schemeClr val="lt1"/>
              </a:solidFill>
              <a:effectLst/>
              <a:latin typeface="+mn-lt"/>
              <a:ea typeface="+mn-ea"/>
              <a:cs typeface="+mn-cs"/>
            </a:rPr>
            <a:t>Total Profit</a:t>
          </a:r>
          <a:r>
            <a:rPr lang="en-IN" sz="1400" b="1">
              <a:effectLst/>
            </a:rPr>
            <a:t> </a:t>
          </a:r>
          <a:r>
            <a:rPr lang="en-IN" sz="1800" b="1" i="0" u="none" strike="noStrike">
              <a:solidFill>
                <a:schemeClr val="lt1"/>
              </a:solidFill>
              <a:effectLst/>
              <a:latin typeface="+mn-lt"/>
              <a:ea typeface="+mn-ea"/>
              <a:cs typeface="+mn-cs"/>
            </a:rPr>
            <a:t>68287.01</a:t>
          </a:r>
          <a:r>
            <a:rPr lang="en-IN" sz="1800" b="1">
              <a:effectLst/>
            </a:rPr>
            <a:t> </a:t>
          </a:r>
          <a:endParaRPr lang="en-IN" sz="1800" b="1"/>
        </a:p>
      </xdr:txBody>
    </xdr:sp>
    <xdr:clientData/>
  </xdr:twoCellAnchor>
  <xdr:twoCellAnchor>
    <xdr:from>
      <xdr:col>19</xdr:col>
      <xdr:colOff>558547</xdr:colOff>
      <xdr:row>5</xdr:row>
      <xdr:rowOff>134865</xdr:rowOff>
    </xdr:from>
    <xdr:to>
      <xdr:col>22</xdr:col>
      <xdr:colOff>222485</xdr:colOff>
      <xdr:row>12</xdr:row>
      <xdr:rowOff>31485</xdr:rowOff>
    </xdr:to>
    <xdr:sp macro="" textlink="">
      <xdr:nvSpPr>
        <xdr:cNvPr id="7" name="Rectangle: Rounded Corners 6">
          <a:extLst>
            <a:ext uri="{FF2B5EF4-FFF2-40B4-BE49-F238E27FC236}">
              <a16:creationId xmlns:a16="http://schemas.microsoft.com/office/drawing/2014/main" id="{0FF90713-8425-21DA-E680-B68FEF990531}"/>
            </a:ext>
          </a:extLst>
        </xdr:cNvPr>
        <xdr:cNvSpPr/>
      </xdr:nvSpPr>
      <xdr:spPr>
        <a:xfrm>
          <a:off x="12140947" y="1039740"/>
          <a:ext cx="1492738" cy="1163445"/>
        </a:xfrm>
        <a:prstGeom prst="roundRect">
          <a:avLst/>
        </a:prstGeom>
        <a:solidFill>
          <a:schemeClr val="tx2">
            <a:lumMod val="75000"/>
            <a:lumOff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fontAlgn="b"/>
          <a:r>
            <a:rPr lang="en-IN" sz="1200" b="1" i="0" u="none" strike="noStrike">
              <a:solidFill>
                <a:schemeClr val="lt1"/>
              </a:solidFill>
              <a:effectLst/>
              <a:latin typeface="+mn-lt"/>
              <a:ea typeface="+mn-ea"/>
              <a:cs typeface="+mn-cs"/>
            </a:rPr>
            <a:t>Avarage</a:t>
          </a:r>
          <a:r>
            <a:rPr lang="en-IN" sz="1200" b="1" i="0" u="none" strike="noStrike" baseline="0">
              <a:solidFill>
                <a:schemeClr val="lt1"/>
              </a:solidFill>
              <a:effectLst/>
              <a:latin typeface="+mn-lt"/>
              <a:ea typeface="+mn-ea"/>
              <a:cs typeface="+mn-cs"/>
            </a:rPr>
            <a:t> </a:t>
          </a:r>
          <a:r>
            <a:rPr lang="en-IN" sz="1200" b="1" i="0" u="none" strike="noStrike">
              <a:solidFill>
                <a:schemeClr val="lt1"/>
              </a:solidFill>
              <a:effectLst/>
              <a:latin typeface="+mn-lt"/>
              <a:ea typeface="+mn-ea"/>
              <a:cs typeface="+mn-cs"/>
            </a:rPr>
            <a:t>Discount</a:t>
          </a:r>
          <a:r>
            <a:rPr lang="en-IN" sz="1400" b="1">
              <a:effectLst/>
            </a:rPr>
            <a:t> </a:t>
          </a:r>
          <a:r>
            <a:rPr lang="en-IN" sz="1800" b="1" i="0" u="none" strike="noStrike">
              <a:solidFill>
                <a:schemeClr val="lt1"/>
              </a:solidFill>
              <a:effectLst/>
              <a:latin typeface="+mn-lt"/>
              <a:ea typeface="+mn-ea"/>
              <a:cs typeface="+mn-cs"/>
            </a:rPr>
            <a:t>0.097</a:t>
          </a:r>
          <a:r>
            <a:rPr lang="en-IN" sz="1400" b="1">
              <a:effectLst/>
            </a:rPr>
            <a:t> </a:t>
          </a:r>
          <a:r>
            <a:rPr lang="en-IN" sz="1400" b="1" i="0" u="none" strike="noStrike">
              <a:solidFill>
                <a:schemeClr val="lt1"/>
              </a:solidFill>
              <a:effectLst/>
              <a:latin typeface="+mn-lt"/>
              <a:ea typeface="+mn-ea"/>
              <a:cs typeface="+mn-cs"/>
            </a:rPr>
            <a:t> </a:t>
          </a:r>
          <a:r>
            <a:rPr lang="en-IN" sz="1400" b="1">
              <a:effectLst/>
            </a:rPr>
            <a:t> </a:t>
          </a:r>
          <a:endParaRPr lang="en-IN" sz="1400" b="1"/>
        </a:p>
      </xdr:txBody>
    </xdr:sp>
    <xdr:clientData/>
  </xdr:twoCellAnchor>
  <xdr:twoCellAnchor>
    <xdr:from>
      <xdr:col>22</xdr:col>
      <xdr:colOff>400479</xdr:colOff>
      <xdr:row>5</xdr:row>
      <xdr:rowOff>123093</xdr:rowOff>
    </xdr:from>
    <xdr:to>
      <xdr:col>25</xdr:col>
      <xdr:colOff>64417</xdr:colOff>
      <xdr:row>12</xdr:row>
      <xdr:rowOff>19713</xdr:rowOff>
    </xdr:to>
    <xdr:sp macro="" textlink="">
      <xdr:nvSpPr>
        <xdr:cNvPr id="12" name="Rectangle: Rounded Corners 11">
          <a:extLst>
            <a:ext uri="{FF2B5EF4-FFF2-40B4-BE49-F238E27FC236}">
              <a16:creationId xmlns:a16="http://schemas.microsoft.com/office/drawing/2014/main" id="{10DBEF03-7C7F-5A89-E771-213740F90F15}"/>
            </a:ext>
          </a:extLst>
        </xdr:cNvPr>
        <xdr:cNvSpPr/>
      </xdr:nvSpPr>
      <xdr:spPr>
        <a:xfrm>
          <a:off x="13811679" y="1027968"/>
          <a:ext cx="1492738" cy="1163445"/>
        </a:xfrm>
        <a:prstGeom prst="roundRect">
          <a:avLst/>
        </a:prstGeom>
        <a:solidFill>
          <a:schemeClr val="tx2">
            <a:lumMod val="75000"/>
            <a:lumOff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fontAlgn="b"/>
          <a:r>
            <a:rPr lang="en-IN" sz="1200" b="1" i="0" u="none" strike="noStrike">
              <a:solidFill>
                <a:schemeClr val="lt1"/>
              </a:solidFill>
              <a:effectLst/>
              <a:latin typeface="+mn-lt"/>
              <a:ea typeface="+mn-ea"/>
              <a:cs typeface="+mn-cs"/>
            </a:rPr>
            <a:t>Total Quantity</a:t>
          </a:r>
          <a:r>
            <a:rPr lang="en-IN" sz="1800" b="1">
              <a:effectLst/>
            </a:rPr>
            <a:t> </a:t>
          </a:r>
          <a:r>
            <a:rPr lang="en-IN" sz="1800" b="1" i="0" u="none" strike="noStrike">
              <a:solidFill>
                <a:schemeClr val="lt1"/>
              </a:solidFill>
              <a:effectLst/>
              <a:latin typeface="+mn-lt"/>
              <a:ea typeface="+mn-ea"/>
              <a:cs typeface="+mn-cs"/>
            </a:rPr>
            <a:t>1999</a:t>
          </a:r>
          <a:r>
            <a:rPr lang="en-IN" sz="1800" b="1">
              <a:effectLst/>
            </a:rPr>
            <a:t> </a:t>
          </a:r>
          <a:endParaRPr lang="en-IN" sz="1800" b="1"/>
        </a:p>
      </xdr:txBody>
    </xdr:sp>
    <xdr:clientData/>
  </xdr:twoCellAnchor>
  <xdr:twoCellAnchor>
    <xdr:from>
      <xdr:col>25</xdr:col>
      <xdr:colOff>228600</xdr:colOff>
      <xdr:row>5</xdr:row>
      <xdr:rowOff>114299</xdr:rowOff>
    </xdr:from>
    <xdr:to>
      <xdr:col>33</xdr:col>
      <xdr:colOff>10589</xdr:colOff>
      <xdr:row>36</xdr:row>
      <xdr:rowOff>95249</xdr:rowOff>
    </xdr:to>
    <xdr:graphicFrame macro="">
      <xdr:nvGraphicFramePr>
        <xdr:cNvPr id="14" name="Chart 13">
          <a:extLst>
            <a:ext uri="{FF2B5EF4-FFF2-40B4-BE49-F238E27FC236}">
              <a16:creationId xmlns:a16="http://schemas.microsoft.com/office/drawing/2014/main" id="{C995EF48-7D77-40D5-8AF2-DF6A7D66C2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oneCellAnchor>
    <xdr:from>
      <xdr:col>5</xdr:col>
      <xdr:colOff>400050</xdr:colOff>
      <xdr:row>1</xdr:row>
      <xdr:rowOff>70187</xdr:rowOff>
    </xdr:from>
    <xdr:ext cx="16668750" cy="628650"/>
    <xdr:sp macro="" textlink="">
      <xdr:nvSpPr>
        <xdr:cNvPr id="15" name="TextBox 14">
          <a:extLst>
            <a:ext uri="{FF2B5EF4-FFF2-40B4-BE49-F238E27FC236}">
              <a16:creationId xmlns:a16="http://schemas.microsoft.com/office/drawing/2014/main" id="{2108F89E-3DCE-CE88-4AE9-5FB66F138D13}"/>
            </a:ext>
          </a:extLst>
        </xdr:cNvPr>
        <xdr:cNvSpPr txBox="1"/>
      </xdr:nvSpPr>
      <xdr:spPr>
        <a:xfrm>
          <a:off x="3458076" y="250661"/>
          <a:ext cx="16668750" cy="628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IN" sz="4400" b="1">
              <a:solidFill>
                <a:schemeClr val="bg2"/>
              </a:solidFill>
              <a:latin typeface="Clarendon BT" panose="02040704040505020204" pitchFamily="18" charset="0"/>
            </a:rPr>
            <a:t>Sales Performance &amp; Trend Analysis</a:t>
          </a:r>
          <a:r>
            <a:rPr lang="en-IN" sz="4400">
              <a:solidFill>
                <a:schemeClr val="bg2"/>
              </a:solidFill>
              <a:latin typeface="Clarendon BT" panose="02040704040505020204" pitchFamily="18" charset="0"/>
            </a:rPr>
            <a:t> </a:t>
          </a:r>
        </a:p>
      </xdr:txBody>
    </xdr:sp>
    <xdr:clientData/>
  </xdr:oneCellAnchor>
</xdr:wsDr>
</file>

<file path=xl/drawings/drawing3.xml><?xml version="1.0" encoding="utf-8"?>
<xdr:wsDr xmlns:xdr="http://schemas.openxmlformats.org/drawingml/2006/spreadsheetDrawing" xmlns:a="http://schemas.openxmlformats.org/drawingml/2006/main">
  <xdr:twoCellAnchor>
    <xdr:from>
      <xdr:col>8</xdr:col>
      <xdr:colOff>482</xdr:colOff>
      <xdr:row>17</xdr:row>
      <xdr:rowOff>6625</xdr:rowOff>
    </xdr:from>
    <xdr:to>
      <xdr:col>12</xdr:col>
      <xdr:colOff>13252</xdr:colOff>
      <xdr:row>27</xdr:row>
      <xdr:rowOff>172278</xdr:rowOff>
    </xdr:to>
    <xdr:graphicFrame macro="">
      <xdr:nvGraphicFramePr>
        <xdr:cNvPr id="2" name="Chart 1">
          <a:extLst>
            <a:ext uri="{FF2B5EF4-FFF2-40B4-BE49-F238E27FC236}">
              <a16:creationId xmlns:a16="http://schemas.microsoft.com/office/drawing/2014/main" id="{63D714A4-ED16-B397-4038-94D20583F6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13853</xdr:colOff>
      <xdr:row>17</xdr:row>
      <xdr:rowOff>13855</xdr:rowOff>
    </xdr:from>
    <xdr:to>
      <xdr:col>17</xdr:col>
      <xdr:colOff>692</xdr:colOff>
      <xdr:row>28</xdr:row>
      <xdr:rowOff>0</xdr:rowOff>
    </xdr:to>
    <xdr:graphicFrame macro="">
      <xdr:nvGraphicFramePr>
        <xdr:cNvPr id="3" name="Chart 2">
          <a:extLst>
            <a:ext uri="{FF2B5EF4-FFF2-40B4-BE49-F238E27FC236}">
              <a16:creationId xmlns:a16="http://schemas.microsoft.com/office/drawing/2014/main" id="{CD030836-8532-C30E-D656-EB1901D337B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585700</xdr:colOff>
      <xdr:row>30</xdr:row>
      <xdr:rowOff>11430</xdr:rowOff>
    </xdr:from>
    <xdr:to>
      <xdr:col>17</xdr:col>
      <xdr:colOff>19050</xdr:colOff>
      <xdr:row>41</xdr:row>
      <xdr:rowOff>57150</xdr:rowOff>
    </xdr:to>
    <xdr:graphicFrame macro="">
      <xdr:nvGraphicFramePr>
        <xdr:cNvPr id="4" name="Chart 3">
          <a:extLst>
            <a:ext uri="{FF2B5EF4-FFF2-40B4-BE49-F238E27FC236}">
              <a16:creationId xmlns:a16="http://schemas.microsoft.com/office/drawing/2014/main" id="{023C0456-61D2-1DF5-6A1D-A2685C3D7FB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9</xdr:col>
      <xdr:colOff>0</xdr:colOff>
      <xdr:row>3</xdr:row>
      <xdr:rowOff>30480</xdr:rowOff>
    </xdr:from>
    <xdr:to>
      <xdr:col>16</xdr:col>
      <xdr:colOff>15240</xdr:colOff>
      <xdr:row>18</xdr:row>
      <xdr:rowOff>38100</xdr:rowOff>
    </xdr:to>
    <xdr:graphicFrame macro="">
      <xdr:nvGraphicFramePr>
        <xdr:cNvPr id="2" name="Chart 1">
          <a:extLst>
            <a:ext uri="{FF2B5EF4-FFF2-40B4-BE49-F238E27FC236}">
              <a16:creationId xmlns:a16="http://schemas.microsoft.com/office/drawing/2014/main" id="{AD2C9B7D-1385-216C-0071-64CB78340CC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186345</xdr:colOff>
      <xdr:row>16</xdr:row>
      <xdr:rowOff>143015</xdr:rowOff>
    </xdr:from>
    <xdr:to>
      <xdr:col>4</xdr:col>
      <xdr:colOff>1052947</xdr:colOff>
      <xdr:row>30</xdr:row>
      <xdr:rowOff>110612</xdr:rowOff>
    </xdr:to>
    <xdr:graphicFrame macro="">
      <xdr:nvGraphicFramePr>
        <xdr:cNvPr id="6" name="Chart 5">
          <a:extLst>
            <a:ext uri="{FF2B5EF4-FFF2-40B4-BE49-F238E27FC236}">
              <a16:creationId xmlns:a16="http://schemas.microsoft.com/office/drawing/2014/main" id="{01E32E6D-6428-36EE-958B-73FCD955D0E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1481051</xdr:colOff>
      <xdr:row>16</xdr:row>
      <xdr:rowOff>138546</xdr:rowOff>
    </xdr:from>
    <xdr:to>
      <xdr:col>13</xdr:col>
      <xdr:colOff>193963</xdr:colOff>
      <xdr:row>30</xdr:row>
      <xdr:rowOff>138547</xdr:rowOff>
    </xdr:to>
    <xdr:graphicFrame macro="">
      <xdr:nvGraphicFramePr>
        <xdr:cNvPr id="7" name="Chart 6">
          <a:extLst>
            <a:ext uri="{FF2B5EF4-FFF2-40B4-BE49-F238E27FC236}">
              <a16:creationId xmlns:a16="http://schemas.microsoft.com/office/drawing/2014/main" id="{748DEB6B-4051-5E51-7D71-2BBAA39A7A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958645</xdr:colOff>
      <xdr:row>32</xdr:row>
      <xdr:rowOff>1</xdr:rowOff>
    </xdr:from>
    <xdr:to>
      <xdr:col>4</xdr:col>
      <xdr:colOff>198528</xdr:colOff>
      <xdr:row>42</xdr:row>
      <xdr:rowOff>10950</xdr:rowOff>
    </xdr:to>
    <xdr:sp macro="" textlink="">
      <xdr:nvSpPr>
        <xdr:cNvPr id="8" name="TextBox 7">
          <a:extLst>
            <a:ext uri="{FF2B5EF4-FFF2-40B4-BE49-F238E27FC236}">
              <a16:creationId xmlns:a16="http://schemas.microsoft.com/office/drawing/2014/main" id="{917EE45A-0479-70A1-45F3-AD97A478220E}"/>
            </a:ext>
          </a:extLst>
        </xdr:cNvPr>
        <xdr:cNvSpPr txBox="1"/>
      </xdr:nvSpPr>
      <xdr:spPr>
        <a:xfrm>
          <a:off x="958645" y="6255775"/>
          <a:ext cx="3049883" cy="1854498"/>
        </a:xfrm>
        <a:prstGeom prst="rect">
          <a:avLst/>
        </a:prstGeom>
        <a:solidFill>
          <a:schemeClr val="bg1">
            <a:lumMod val="8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800" b="1"/>
            <a:t>Region Wise Sales</a:t>
          </a:r>
        </a:p>
      </xdr:txBody>
    </xdr:sp>
    <xdr:clientData/>
  </xdr:twoCellAnchor>
  <xdr:twoCellAnchor>
    <xdr:from>
      <xdr:col>7</xdr:col>
      <xdr:colOff>214350</xdr:colOff>
      <xdr:row>31</xdr:row>
      <xdr:rowOff>176053</xdr:rowOff>
    </xdr:from>
    <xdr:to>
      <xdr:col>10</xdr:col>
      <xdr:colOff>480950</xdr:colOff>
      <xdr:row>41</xdr:row>
      <xdr:rowOff>166255</xdr:rowOff>
    </xdr:to>
    <xdr:sp macro="" textlink="">
      <xdr:nvSpPr>
        <xdr:cNvPr id="9" name="TextBox 8">
          <a:extLst>
            <a:ext uri="{FF2B5EF4-FFF2-40B4-BE49-F238E27FC236}">
              <a16:creationId xmlns:a16="http://schemas.microsoft.com/office/drawing/2014/main" id="{5FD25656-D214-4F0A-A903-3B6012D69437}"/>
            </a:ext>
          </a:extLst>
        </xdr:cNvPr>
        <xdr:cNvSpPr txBox="1"/>
      </xdr:nvSpPr>
      <xdr:spPr>
        <a:xfrm>
          <a:off x="6919950" y="5828708"/>
          <a:ext cx="2538745" cy="1791292"/>
        </a:xfrm>
        <a:prstGeom prst="rect">
          <a:avLst/>
        </a:prstGeom>
        <a:solidFill>
          <a:schemeClr val="bg1">
            <a:lumMod val="8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rtl="0"/>
          <a:r>
            <a:rPr lang="en-US" sz="2800" b="1" i="0" baseline="0">
              <a:solidFill>
                <a:schemeClr val="dk1"/>
              </a:solidFill>
              <a:effectLst/>
              <a:latin typeface="+mn-lt"/>
              <a:ea typeface="+mn-ea"/>
              <a:cs typeface="+mn-cs"/>
            </a:rPr>
            <a:t>Monthly Sales</a:t>
          </a:r>
          <a:endParaRPr lang="en-IN" sz="4400" b="1">
            <a:effectLst/>
          </a:endParaRPr>
        </a:p>
      </xdr:txBody>
    </xdr:sp>
    <xdr:clientData/>
  </xdr:twoCellAnchor>
  <xdr:twoCellAnchor>
    <xdr:from>
      <xdr:col>15</xdr:col>
      <xdr:colOff>87500</xdr:colOff>
      <xdr:row>16</xdr:row>
      <xdr:rowOff>113742</xdr:rowOff>
    </xdr:from>
    <xdr:to>
      <xdr:col>27</xdr:col>
      <xdr:colOff>441782</xdr:colOff>
      <xdr:row>30</xdr:row>
      <xdr:rowOff>135194</xdr:rowOff>
    </xdr:to>
    <xdr:graphicFrame macro="">
      <xdr:nvGraphicFramePr>
        <xdr:cNvPr id="10" name="Chart 9">
          <a:extLst>
            <a:ext uri="{FF2B5EF4-FFF2-40B4-BE49-F238E27FC236}">
              <a16:creationId xmlns:a16="http://schemas.microsoft.com/office/drawing/2014/main" id="{F6295DFD-BB3B-1DE9-80D5-84FB3D73E3B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19</xdr:col>
      <xdr:colOff>110612</xdr:colOff>
      <xdr:row>32</xdr:row>
      <xdr:rowOff>28093</xdr:rowOff>
    </xdr:from>
    <xdr:to>
      <xdr:col>24</xdr:col>
      <xdr:colOff>392</xdr:colOff>
      <xdr:row>42</xdr:row>
      <xdr:rowOff>18296</xdr:rowOff>
    </xdr:to>
    <xdr:sp macro="" textlink="">
      <xdr:nvSpPr>
        <xdr:cNvPr id="11" name="TextBox 10">
          <a:extLst>
            <a:ext uri="{FF2B5EF4-FFF2-40B4-BE49-F238E27FC236}">
              <a16:creationId xmlns:a16="http://schemas.microsoft.com/office/drawing/2014/main" id="{D8B4A0EB-4771-41B3-8CF1-A9F6FDCFD7EA}"/>
            </a:ext>
          </a:extLst>
        </xdr:cNvPr>
        <xdr:cNvSpPr txBox="1"/>
      </xdr:nvSpPr>
      <xdr:spPr>
        <a:xfrm>
          <a:off x="15313741" y="6283867"/>
          <a:ext cx="3724361" cy="1833752"/>
        </a:xfrm>
        <a:prstGeom prst="rect">
          <a:avLst/>
        </a:prstGeom>
        <a:solidFill>
          <a:schemeClr val="bg1">
            <a:lumMod val="8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rtl="0"/>
          <a:r>
            <a:rPr lang="en-US" sz="2800" b="1" i="0" baseline="0">
              <a:solidFill>
                <a:schemeClr val="dk1"/>
              </a:solidFill>
              <a:effectLst>
                <a:outerShdw blurRad="50800" dist="38100" dir="5400000" algn="t" rotWithShape="0">
                  <a:srgbClr val="000000">
                    <a:alpha val="40000"/>
                  </a:srgbClr>
                </a:outerShdw>
              </a:effectLst>
              <a:latin typeface="+mn-lt"/>
              <a:ea typeface="+mn-ea"/>
              <a:cs typeface="+mn-cs"/>
            </a:rPr>
            <a:t>Category Wise Sale</a:t>
          </a:r>
        </a:p>
      </xdr:txBody>
    </xdr:sp>
    <xdr:clientData/>
  </xdr:twoCellAnchor>
</xdr:wsD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unj Mistry" refreshedDate="46133.841194212961" createdVersion="8" refreshedVersion="8" minRefreshableVersion="3" recordCount="200" xr:uid="{889A3642-6BA5-4EDB-BDF8-3F9980240609}">
  <cacheSource type="worksheet">
    <worksheetSource name="Table1"/>
  </cacheSource>
  <cacheFields count="14">
    <cacheField name="Customer_ID" numFmtId="0">
      <sharedItems/>
    </cacheField>
    <cacheField name="Customer_Name" numFmtId="0">
      <sharedItems count="27">
        <s v="James Davis"/>
        <s v="Robert Anderson"/>
        <s v="James Taylor"/>
        <s v="James Wilson"/>
        <s v="Michael Anderson"/>
        <s v="Linda Wilson"/>
        <s v="Mary Davis"/>
        <s v="Linda Jackson"/>
        <s v="David Thomas"/>
        <s v="Emma Davis"/>
        <s v="David Smith"/>
        <s v="Sarah Anderson"/>
        <s v="Lisa Thomas"/>
        <s v="Mary Jackson"/>
        <s v="Lisa Davis"/>
        <s v="Linda Brown"/>
        <s v="John Brown"/>
        <s v="Linda Taylor"/>
        <s v="David Brown"/>
        <s v="David Davis"/>
        <s v="Mary Wilson"/>
        <s v="Emma Wilson"/>
        <s v="Linda Davis"/>
        <s v="Sarah Davis"/>
        <s v="Emma Taylor"/>
        <s v="Linda Moore"/>
        <s v="David Anderson"/>
      </sharedItems>
    </cacheField>
    <cacheField name="Region" numFmtId="0">
      <sharedItems count="5">
        <s v="West"/>
        <s v="East"/>
        <s v="South"/>
        <s v="North"/>
        <s v="Central"/>
      </sharedItems>
    </cacheField>
    <cacheField name="Product_Category" numFmtId="0">
      <sharedItems count="5">
        <s v="Books"/>
        <s v="Clothing"/>
        <s v="Electronics"/>
        <s v="Furniture"/>
        <s v="Office Supplies"/>
      </sharedItems>
    </cacheField>
    <cacheField name="Sales" numFmtId="0">
      <sharedItems containsSemiMixedTypes="0" containsString="0" containsNumber="1" minValue="258.51" maxValue="1923.66" count="200">
        <n v="1036.0899999999999"/>
        <n v="1101.28"/>
        <n v="713.34"/>
        <n v="760.93"/>
        <n v="847"/>
        <n v="965.64"/>
        <n v="1317.53"/>
        <n v="1074.47"/>
        <n v="501.54"/>
        <n v="737.31"/>
        <n v="1572.82"/>
        <n v="1343.13"/>
        <n v="1191.58"/>
        <n v="822.28"/>
        <n v="521.66999999999996"/>
        <n v="1502.93"/>
        <n v="877.58"/>
        <n v="636.70000000000005"/>
        <n v="1506.14"/>
        <n v="645.02"/>
        <n v="953.3"/>
        <n v="388.56"/>
        <n v="743.17"/>
        <n v="706.37"/>
        <n v="925.31"/>
        <n v="1173.1199999999999"/>
        <n v="675.54"/>
        <n v="939.09"/>
        <n v="983.34"/>
        <n v="801.21"/>
        <n v="1450.71"/>
        <n v="1023.21"/>
        <n v="853.72"/>
        <n v="967.89"/>
        <n v="1200.9000000000001"/>
        <n v="472.38"/>
        <n v="840.92"/>
        <n v="1410.06"/>
        <n v="773.09"/>
        <n v="580.42999999999995"/>
        <n v="1151.21"/>
        <n v="1025.98"/>
        <n v="556.41999999999996"/>
        <n v="840.85"/>
        <n v="1227.25"/>
        <n v="856.7"/>
        <n v="1225.42"/>
        <n v="1001.57"/>
        <n v="1186.8499999999999"/>
        <n v="775.45"/>
        <n v="1021.47"/>
        <n v="1226.6199999999999"/>
        <n v="1086.93"/>
        <n v="942.9"/>
        <n v="818.8"/>
        <n v="919.04"/>
        <n v="973.26"/>
        <n v="741.61"/>
        <n v="1248.82"/>
        <n v="1360.36"/>
        <n v="1383.3"/>
        <n v="488.99"/>
        <n v="933.71"/>
        <n v="1005.53"/>
        <n v="1100.0999999999999"/>
        <n v="1034.7"/>
        <n v="876.44"/>
        <n v="1371.34"/>
        <n v="1020.26"/>
        <n v="804.81"/>
        <n v="608.66"/>
        <n v="981.2"/>
        <n v="539.77"/>
        <n v="804.45"/>
        <n v="1526.6"/>
        <n v="1215.26"/>
        <n v="1261.3399999999999"/>
        <n v="518.07000000000005"/>
        <n v="1111.3399999999999"/>
        <n v="1291.47"/>
        <n v="679.71"/>
        <n v="1143.69"/>
        <n v="790.08"/>
        <n v="1070.68"/>
        <n v="1168.8900000000001"/>
        <n v="1335.87"/>
        <n v="873.7"/>
        <n v="1443.98"/>
        <n v="1154.33"/>
        <n v="1264.49"/>
        <n v="1101.55"/>
        <n v="727.73"/>
        <n v="875.41"/>
        <n v="1158.94"/>
        <n v="966.3"/>
        <n v="917.48"/>
        <n v="1172.97"/>
        <n v="1205.82"/>
        <n v="826.93"/>
        <n v="902.19"/>
        <n v="585.97"/>
        <n v="990.19"/>
        <n v="1014.09"/>
        <n v="925.29"/>
        <n v="1286.54"/>
        <n v="961.62"/>
        <n v="1081.1400000000001"/>
        <n v="1923.66"/>
        <n v="728.71"/>
        <n v="1301.8900000000001"/>
        <n v="980.18"/>
        <n v="697.57"/>
        <n v="1193.6099999999999"/>
        <n v="771.02"/>
        <n v="661.09"/>
        <n v="688.83"/>
        <n v="1249.0999999999999"/>
        <n v="1014.22"/>
        <n v="1010.58"/>
        <n v="957.29"/>
        <n v="1077.92"/>
        <n v="1163.01"/>
        <n v="1014.56"/>
        <n v="718.04"/>
        <n v="1277.8499999999999"/>
        <n v="706.73"/>
        <n v="1410.59"/>
        <n v="1350.33"/>
        <n v="919.18"/>
        <n v="258.51"/>
        <n v="1213.48"/>
        <n v="1150.28"/>
        <n v="853.86"/>
        <n v="1061.04"/>
        <n v="894.55"/>
        <n v="833.91"/>
        <n v="820.19"/>
        <n v="511.74"/>
        <n v="806.03"/>
        <n v="1432.47"/>
        <n v="1488.58"/>
        <n v="1231.26"/>
        <n v="1161.67"/>
        <n v="388.23"/>
        <n v="1589.42"/>
        <n v="336.66"/>
        <n v="1353.79"/>
        <n v="662.61"/>
        <n v="309.42"/>
        <n v="884.63"/>
        <n v="745.05"/>
        <n v="870.23"/>
        <n v="862.19"/>
        <n v="1171.18"/>
        <n v="1054.56"/>
        <n v="1681.21"/>
        <n v="379.77"/>
        <n v="1076.33"/>
        <n v="1250.71"/>
        <n v="1118.3399999999999"/>
        <n v="1622.62"/>
        <n v="640.64"/>
        <n v="585.16"/>
        <n v="1109.98"/>
        <n v="1098.08"/>
        <n v="827.25"/>
        <n v="741.88"/>
        <n v="1311.26"/>
        <n v="573.32000000000005"/>
        <n v="1115.22"/>
        <n v="845.84"/>
        <n v="1029.8"/>
        <n v="1189.83"/>
        <n v="704.28"/>
        <n v="1618.22"/>
        <n v="1014.43"/>
        <n v="826.97"/>
        <n v="1022.23"/>
        <n v="1099.69"/>
        <n v="710.52"/>
        <n v="499.18"/>
        <n v="1064.19"/>
        <n v="438.76"/>
        <n v="864.98"/>
        <n v="984.93"/>
        <n v="1493.49"/>
        <n v="689.43"/>
        <n v="682.24"/>
        <n v="458.54"/>
        <n v="1184.25"/>
        <n v="762.14"/>
        <n v="750.71"/>
        <n v="1456.94"/>
        <n v="1093.3800000000001"/>
        <n v="934.27"/>
        <n v="1465.35"/>
        <n v="740.8"/>
        <n v="545.44000000000005"/>
        <n v="997.61"/>
        <n v="928.32"/>
      </sharedItems>
    </cacheField>
    <cacheField name="Quantity" numFmtId="0">
      <sharedItems containsSemiMixedTypes="0" containsString="0" containsNumber="1" containsInteger="1" minValue="1" maxValue="19"/>
    </cacheField>
    <cacheField name="Discount" numFmtId="0">
      <sharedItems containsSemiMixedTypes="0" containsString="0" containsNumber="1" minValue="0" maxValue="0.2" count="5">
        <n v="0.2"/>
        <n v="0"/>
        <n v="0.15"/>
        <n v="0.1"/>
        <n v="0.05"/>
      </sharedItems>
    </cacheField>
    <cacheField name="Order_Date" numFmtId="164">
      <sharedItems containsSemiMixedTypes="0" containsNonDate="0" containsDate="1" containsString="0" minDate="2024-04-10T00:00:00" maxDate="2025-04-08T00:00:00" count="148">
        <d v="2024-04-10T00:00:00"/>
        <d v="2024-04-11T00:00:00"/>
        <d v="2024-04-14T00:00:00"/>
        <d v="2024-04-15T00:00:00"/>
        <d v="2024-04-16T00:00:00"/>
        <d v="2024-04-19T00:00:00"/>
        <d v="2024-04-20T00:00:00"/>
        <d v="2024-04-22T00:00:00"/>
        <d v="2024-04-24T00:00:00"/>
        <d v="2024-04-27T00:00:00"/>
        <d v="2024-04-28T00:00:00"/>
        <d v="2024-04-29T00:00:00"/>
        <d v="2024-04-30T00:00:00"/>
        <d v="2024-05-02T00:00:00"/>
        <d v="2024-05-03T00:00:00"/>
        <d v="2024-05-04T00:00:00"/>
        <d v="2024-05-06T00:00:00"/>
        <d v="2024-05-08T00:00:00"/>
        <d v="2024-05-10T00:00:00"/>
        <d v="2024-05-14T00:00:00"/>
        <d v="2024-05-15T00:00:00"/>
        <d v="2024-05-16T00:00:00"/>
        <d v="2024-05-17T00:00:00"/>
        <d v="2024-05-22T00:00:00"/>
        <d v="2024-05-23T00:00:00"/>
        <d v="2024-06-02T00:00:00"/>
        <d v="2024-06-04T00:00:00"/>
        <d v="2024-06-05T00:00:00"/>
        <d v="2024-06-06T00:00:00"/>
        <d v="2024-06-07T00:00:00"/>
        <d v="2024-06-08T00:00:00"/>
        <d v="2024-06-14T00:00:00"/>
        <d v="2024-06-18T00:00:00"/>
        <d v="2024-06-20T00:00:00"/>
        <d v="2024-06-21T00:00:00"/>
        <d v="2024-06-23T00:00:00"/>
        <d v="2024-06-25T00:00:00"/>
        <d v="2024-06-27T00:00:00"/>
        <d v="2024-06-28T00:00:00"/>
        <d v="2024-06-30T00:00:00"/>
        <d v="2024-07-05T00:00:00"/>
        <d v="2024-07-06T00:00:00"/>
        <d v="2024-07-08T00:00:00"/>
        <d v="2024-07-09T00:00:00"/>
        <d v="2024-07-14T00:00:00"/>
        <d v="2024-07-15T00:00:00"/>
        <d v="2024-07-21T00:00:00"/>
        <d v="2024-07-29T00:00:00"/>
        <d v="2024-07-30T00:00:00"/>
        <d v="2024-07-31T00:00:00"/>
        <d v="2024-08-05T00:00:00"/>
        <d v="2024-08-08T00:00:00"/>
        <d v="2024-08-09T00:00:00"/>
        <d v="2024-08-15T00:00:00"/>
        <d v="2024-08-18T00:00:00"/>
        <d v="2024-08-19T00:00:00"/>
        <d v="2024-08-22T00:00:00"/>
        <d v="2024-08-30T00:00:00"/>
        <d v="2024-09-01T00:00:00"/>
        <d v="2024-09-09T00:00:00"/>
        <d v="2024-09-11T00:00:00"/>
        <d v="2024-09-12T00:00:00"/>
        <d v="2024-09-14T00:00:00"/>
        <d v="2024-09-16T00:00:00"/>
        <d v="2024-09-17T00:00:00"/>
        <d v="2024-09-18T00:00:00"/>
        <d v="2024-09-22T00:00:00"/>
        <d v="2024-09-23T00:00:00"/>
        <d v="2024-09-24T00:00:00"/>
        <d v="2024-09-29T00:00:00"/>
        <d v="2024-09-30T00:00:00"/>
        <d v="2024-10-02T00:00:00"/>
        <d v="2024-10-05T00:00:00"/>
        <d v="2024-10-10T00:00:00"/>
        <d v="2024-10-12T00:00:00"/>
        <d v="2024-10-15T00:00:00"/>
        <d v="2024-10-16T00:00:00"/>
        <d v="2024-10-17T00:00:00"/>
        <d v="2024-10-19T00:00:00"/>
        <d v="2024-10-20T00:00:00"/>
        <d v="2024-10-28T00:00:00"/>
        <d v="2024-10-30T00:00:00"/>
        <d v="2024-11-01T00:00:00"/>
        <d v="2024-11-03T00:00:00"/>
        <d v="2024-11-09T00:00:00"/>
        <d v="2024-11-12T00:00:00"/>
        <d v="2024-11-15T00:00:00"/>
        <d v="2024-11-16T00:00:00"/>
        <d v="2024-11-17T00:00:00"/>
        <d v="2024-11-19T00:00:00"/>
        <d v="2024-11-20T00:00:00"/>
        <d v="2024-11-26T00:00:00"/>
        <d v="2024-11-28T00:00:00"/>
        <d v="2024-11-29T00:00:00"/>
        <d v="2024-11-30T00:00:00"/>
        <d v="2024-12-04T00:00:00"/>
        <d v="2024-12-05T00:00:00"/>
        <d v="2024-12-12T00:00:00"/>
        <d v="2024-12-14T00:00:00"/>
        <d v="2024-12-20T00:00:00"/>
        <d v="2024-12-21T00:00:00"/>
        <d v="2024-12-24T00:00:00"/>
        <d v="2024-12-25T00:00:00"/>
        <d v="2024-12-30T00:00:00"/>
        <d v="2025-01-01T00:00:00"/>
        <d v="2025-01-02T00:00:00"/>
        <d v="2025-01-03T00:00:00"/>
        <d v="2025-01-06T00:00:00"/>
        <d v="2025-01-10T00:00:00"/>
        <d v="2025-01-12T00:00:00"/>
        <d v="2025-01-13T00:00:00"/>
        <d v="2025-01-16T00:00:00"/>
        <d v="2025-01-17T00:00:00"/>
        <d v="2025-01-20T00:00:00"/>
        <d v="2025-01-21T00:00:00"/>
        <d v="2025-01-27T00:00:00"/>
        <d v="2025-02-02T00:00:00"/>
        <d v="2025-02-04T00:00:00"/>
        <d v="2025-02-05T00:00:00"/>
        <d v="2025-02-07T00:00:00"/>
        <d v="2025-02-10T00:00:00"/>
        <d v="2025-02-15T00:00:00"/>
        <d v="2025-02-17T00:00:00"/>
        <d v="2025-02-19T00:00:00"/>
        <d v="2025-02-20T00:00:00"/>
        <d v="2025-02-21T00:00:00"/>
        <d v="2025-02-24T00:00:00"/>
        <d v="2025-02-25T00:00:00"/>
        <d v="2025-02-27T00:00:00"/>
        <d v="2025-03-01T00:00:00"/>
        <d v="2025-03-02T00:00:00"/>
        <d v="2025-03-05T00:00:00"/>
        <d v="2025-03-08T00:00:00"/>
        <d v="2025-03-09T00:00:00"/>
        <d v="2025-03-10T00:00:00"/>
        <d v="2025-03-11T00:00:00"/>
        <d v="2025-03-17T00:00:00"/>
        <d v="2025-03-18T00:00:00"/>
        <d v="2025-03-20T00:00:00"/>
        <d v="2025-03-22T00:00:00"/>
        <d v="2025-03-25T00:00:00"/>
        <d v="2025-03-26T00:00:00"/>
        <d v="2025-03-27T00:00:00"/>
        <d v="2025-03-29T00:00:00"/>
        <d v="2025-03-30T00:00:00"/>
        <d v="2025-04-02T00:00:00"/>
        <d v="2025-04-05T00:00:00"/>
        <d v="2025-04-07T00:00:00"/>
      </sharedItems>
      <fieldGroup par="13"/>
    </cacheField>
    <cacheField name="Profit" numFmtId="0">
      <sharedItems containsSemiMixedTypes="0" containsString="0" containsNumber="1" minValue="64.63" maxValue="769.46"/>
    </cacheField>
    <cacheField name="Growth" numFmtId="0">
      <sharedItems containsSemiMixedTypes="0" containsString="0" containsNumber="1" minValue="-1" maxValue="3.6941317550578319"/>
    </cacheField>
    <cacheField name="Timestamp" numFmtId="22">
      <sharedItems containsSemiMixedTypes="0" containsNonDate="0" containsDate="1" containsString="0" minDate="2026-04-21T20:11:03" maxDate="2026-04-21T20:11:03"/>
    </cacheField>
    <cacheField name="Months (Order_Date)" numFmtId="0" databaseField="0">
      <fieldGroup base="7">
        <rangePr groupBy="months" startDate="2024-04-10T00:00:00" endDate="2025-04-08T00:00:00"/>
        <groupItems count="14">
          <s v="&lt;10-04-2024"/>
          <s v="Jan"/>
          <s v="Feb"/>
          <s v="Mar"/>
          <s v="Apr"/>
          <s v="May"/>
          <s v="Jun"/>
          <s v="Jul"/>
          <s v="Aug"/>
          <s v="Sep"/>
          <s v="Oct"/>
          <s v="Nov"/>
          <s v="Dec"/>
          <s v="&gt;08-04-2025"/>
        </groupItems>
      </fieldGroup>
    </cacheField>
    <cacheField name="Quarters (Order_Date)" numFmtId="0" databaseField="0">
      <fieldGroup base="7">
        <rangePr groupBy="quarters" startDate="2024-04-10T00:00:00" endDate="2025-04-08T00:00:00"/>
        <groupItems count="6">
          <s v="&lt;10-04-2024"/>
          <s v="Qtr1"/>
          <s v="Qtr2"/>
          <s v="Qtr3"/>
          <s v="Qtr4"/>
          <s v="&gt;08-04-2025"/>
        </groupItems>
      </fieldGroup>
    </cacheField>
    <cacheField name="Years (Order_Date)" numFmtId="0" databaseField="0">
      <fieldGroup base="7">
        <rangePr groupBy="years" startDate="2024-04-10T00:00:00" endDate="2025-04-08T00:00:00"/>
        <groupItems count="4">
          <s v="&lt;10-04-2024"/>
          <s v="2024"/>
          <s v="2025"/>
          <s v="&gt;08-04-2025"/>
        </groupItems>
      </fieldGroup>
    </cacheField>
  </cacheFields>
  <extLst>
    <ext xmlns:x14="http://schemas.microsoft.com/office/spreadsheetml/2009/9/main" uri="{725AE2AE-9491-48be-B2B4-4EB974FC3084}">
      <x14:pivotCacheDefinition pivotCacheId="94998270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s v="CUST019"/>
    <x v="0"/>
    <x v="0"/>
    <x v="0"/>
    <x v="0"/>
    <n v="4"/>
    <x v="0"/>
    <x v="0"/>
    <n v="331.55"/>
    <n v="6.2919244467179544E-2"/>
    <d v="2026-04-21T20:11:03"/>
  </r>
  <r>
    <s v="CUST012"/>
    <x v="1"/>
    <x v="0"/>
    <x v="1"/>
    <x v="1"/>
    <n v="3"/>
    <x v="0"/>
    <x v="1"/>
    <n v="440.51"/>
    <n v="-0.35226282144413767"/>
    <d v="2026-04-21T20:11:03"/>
  </r>
  <r>
    <s v="CUST017"/>
    <x v="2"/>
    <x v="1"/>
    <x v="0"/>
    <x v="2"/>
    <n v="17"/>
    <x v="1"/>
    <x v="2"/>
    <n v="285.33999999999997"/>
    <n v="6.6714329772618833E-2"/>
    <d v="2026-04-21T20:11:03"/>
  </r>
  <r>
    <s v="CUST005"/>
    <x v="1"/>
    <x v="2"/>
    <x v="2"/>
    <x v="3"/>
    <n v="4"/>
    <x v="2"/>
    <x v="2"/>
    <n v="161.69999999999999"/>
    <n v="0.1131115871367932"/>
    <d v="2026-04-21T20:11:03"/>
  </r>
  <r>
    <s v="CUST030"/>
    <x v="3"/>
    <x v="3"/>
    <x v="0"/>
    <x v="4"/>
    <n v="12"/>
    <x v="0"/>
    <x v="3"/>
    <n v="271.04000000000002"/>
    <n v="0.14007083825265643"/>
    <d v="2026-04-21T20:11:03"/>
  </r>
  <r>
    <s v="CUST007"/>
    <x v="4"/>
    <x v="3"/>
    <x v="3"/>
    <x v="5"/>
    <n v="8"/>
    <x v="3"/>
    <x v="4"/>
    <n v="304.18"/>
    <n v="0.36441116772296095"/>
    <d v="2026-04-21T20:11:03"/>
  </r>
  <r>
    <s v="CUST001"/>
    <x v="5"/>
    <x v="0"/>
    <x v="2"/>
    <x v="6"/>
    <n v="12"/>
    <x v="4"/>
    <x v="4"/>
    <n v="312.91000000000003"/>
    <n v="-0.18448156778213776"/>
    <d v="2026-04-21T20:11:03"/>
  </r>
  <r>
    <s v="CUST026"/>
    <x v="6"/>
    <x v="1"/>
    <x v="3"/>
    <x v="7"/>
    <n v="6"/>
    <x v="0"/>
    <x v="5"/>
    <n v="300.85000000000002"/>
    <n v="-0.53322102990311504"/>
    <d v="2026-04-21T20:11:03"/>
  </r>
  <r>
    <s v="CUST009"/>
    <x v="7"/>
    <x v="4"/>
    <x v="0"/>
    <x v="8"/>
    <n v="11"/>
    <x v="4"/>
    <x v="5"/>
    <n v="190.59"/>
    <n v="0.47009211628185171"/>
    <d v="2026-04-21T20:11:03"/>
  </r>
  <r>
    <s v="CUST010"/>
    <x v="8"/>
    <x v="4"/>
    <x v="1"/>
    <x v="9"/>
    <n v="2"/>
    <x v="4"/>
    <x v="5"/>
    <n v="350.22"/>
    <n v="1.1331868549185553"/>
    <d v="2026-04-21T20:11:03"/>
  </r>
  <r>
    <s v="CUST014"/>
    <x v="9"/>
    <x v="0"/>
    <x v="4"/>
    <x v="10"/>
    <n v="6"/>
    <x v="4"/>
    <x v="6"/>
    <n v="672.38"/>
    <n v="-0.14603705446268475"/>
    <d v="2026-04-21T20:11:03"/>
  </r>
  <r>
    <s v="CUST014"/>
    <x v="8"/>
    <x v="4"/>
    <x v="0"/>
    <x v="11"/>
    <n v="14"/>
    <x v="2"/>
    <x v="7"/>
    <n v="456.66"/>
    <n v="-0.11283345618071235"/>
    <d v="2026-04-21T20:11:03"/>
  </r>
  <r>
    <s v="CUST007"/>
    <x v="4"/>
    <x v="4"/>
    <x v="0"/>
    <x v="12"/>
    <n v="14"/>
    <x v="4"/>
    <x v="8"/>
    <n v="452.8"/>
    <n v="-0.30992463787576158"/>
    <d v="2026-04-21T20:11:03"/>
  </r>
  <r>
    <s v="CUST023"/>
    <x v="1"/>
    <x v="0"/>
    <x v="3"/>
    <x v="13"/>
    <n v="7"/>
    <x v="4"/>
    <x v="8"/>
    <n v="273.41000000000003"/>
    <n v="-0.36558106727635359"/>
    <d v="2026-04-21T20:11:03"/>
  </r>
  <r>
    <s v="CUST029"/>
    <x v="10"/>
    <x v="3"/>
    <x v="3"/>
    <x v="14"/>
    <n v="15"/>
    <x v="2"/>
    <x v="9"/>
    <n v="155.19999999999999"/>
    <n v="1.8809975655107638"/>
    <d v="2026-04-21T20:11:03"/>
  </r>
  <r>
    <s v="CUST005"/>
    <x v="11"/>
    <x v="2"/>
    <x v="2"/>
    <x v="15"/>
    <n v="14"/>
    <x v="0"/>
    <x v="10"/>
    <n v="300.58999999999997"/>
    <n v="-0.41608724291883187"/>
    <d v="2026-04-21T20:11:03"/>
  </r>
  <r>
    <s v="CUST008"/>
    <x v="1"/>
    <x v="2"/>
    <x v="0"/>
    <x v="16"/>
    <n v="10"/>
    <x v="2"/>
    <x v="11"/>
    <n v="298.38"/>
    <n v="-0.27448209849814259"/>
    <d v="2026-04-21T20:11:03"/>
  </r>
  <r>
    <s v="CUST001"/>
    <x v="12"/>
    <x v="0"/>
    <x v="0"/>
    <x v="17"/>
    <n v="4"/>
    <x v="0"/>
    <x v="11"/>
    <n v="203.74"/>
    <n v="1.3655410711481075"/>
    <d v="2026-04-21T20:11:03"/>
  </r>
  <r>
    <s v="CUST006"/>
    <x v="13"/>
    <x v="0"/>
    <x v="0"/>
    <x v="18"/>
    <n v="13"/>
    <x v="0"/>
    <x v="12"/>
    <n v="481.96"/>
    <n v="-0.57173967891431077"/>
    <d v="2026-04-21T20:11:03"/>
  </r>
  <r>
    <s v="CUST026"/>
    <x v="6"/>
    <x v="4"/>
    <x v="2"/>
    <x v="19"/>
    <n v="4"/>
    <x v="1"/>
    <x v="13"/>
    <n v="161.26"/>
    <n v="0.47793866856841644"/>
    <d v="2026-04-21T20:11:03"/>
  </r>
  <r>
    <s v="CUST007"/>
    <x v="14"/>
    <x v="2"/>
    <x v="1"/>
    <x v="20"/>
    <n v="11"/>
    <x v="1"/>
    <x v="14"/>
    <n v="476.65"/>
    <n v="-0.5924053288576524"/>
    <d v="2026-04-21T20:11:03"/>
  </r>
  <r>
    <s v="CUST022"/>
    <x v="1"/>
    <x v="3"/>
    <x v="2"/>
    <x v="21"/>
    <n v="14"/>
    <x v="2"/>
    <x v="15"/>
    <n v="82.57"/>
    <n v="0.9126261066501955"/>
    <d v="2026-04-21T20:11:03"/>
  </r>
  <r>
    <s v="CUST019"/>
    <x v="6"/>
    <x v="0"/>
    <x v="0"/>
    <x v="22"/>
    <n v="9"/>
    <x v="1"/>
    <x v="15"/>
    <n v="297.27"/>
    <n v="-4.95176070078178E-2"/>
    <d v="2026-04-21T20:11:03"/>
  </r>
  <r>
    <s v="CUST023"/>
    <x v="6"/>
    <x v="4"/>
    <x v="2"/>
    <x v="23"/>
    <n v="6"/>
    <x v="1"/>
    <x v="15"/>
    <n v="176.59"/>
    <n v="0.3099508756034372"/>
    <d v="2026-04-21T20:11:03"/>
  </r>
  <r>
    <s v="CUST012"/>
    <x v="6"/>
    <x v="4"/>
    <x v="4"/>
    <x v="24"/>
    <n v="8"/>
    <x v="3"/>
    <x v="16"/>
    <n v="374.75"/>
    <n v="0.26781294917379034"/>
    <d v="2026-04-21T20:11:03"/>
  </r>
  <r>
    <s v="CUST010"/>
    <x v="15"/>
    <x v="2"/>
    <x v="2"/>
    <x v="25"/>
    <n v="18"/>
    <x v="1"/>
    <x v="16"/>
    <n v="293.27999999999997"/>
    <n v="-0.42415098199672663"/>
    <d v="2026-04-21T20:11:03"/>
  </r>
  <r>
    <s v="CUST030"/>
    <x v="16"/>
    <x v="3"/>
    <x v="3"/>
    <x v="26"/>
    <n v="17"/>
    <x v="1"/>
    <x v="17"/>
    <n v="236.44"/>
    <n v="0.3901323385735857"/>
    <d v="2026-04-21T20:11:03"/>
  </r>
  <r>
    <s v="CUST007"/>
    <x v="1"/>
    <x v="4"/>
    <x v="0"/>
    <x v="27"/>
    <n v="2"/>
    <x v="4"/>
    <x v="18"/>
    <n v="356.85"/>
    <n v="4.7120084336964504E-2"/>
    <d v="2026-04-21T20:11:03"/>
  </r>
  <r>
    <s v="CUST028"/>
    <x v="17"/>
    <x v="1"/>
    <x v="4"/>
    <x v="28"/>
    <n v="19"/>
    <x v="3"/>
    <x v="19"/>
    <n v="398.25"/>
    <n v="-0.18521569345292574"/>
    <d v="2026-04-21T20:11:03"/>
  </r>
  <r>
    <s v="CUST028"/>
    <x v="3"/>
    <x v="2"/>
    <x v="2"/>
    <x v="29"/>
    <n v="3"/>
    <x v="0"/>
    <x v="19"/>
    <n v="160.24"/>
    <n v="0.81064889354850789"/>
    <d v="2026-04-21T20:11:03"/>
  </r>
  <r>
    <s v="CUST025"/>
    <x v="18"/>
    <x v="3"/>
    <x v="2"/>
    <x v="30"/>
    <n v="5"/>
    <x v="3"/>
    <x v="20"/>
    <n v="326.41000000000003"/>
    <n v="-0.29468329300825113"/>
    <d v="2026-04-21T20:11:03"/>
  </r>
  <r>
    <s v="CUST022"/>
    <x v="19"/>
    <x v="4"/>
    <x v="0"/>
    <x v="31"/>
    <n v="18"/>
    <x v="4"/>
    <x v="21"/>
    <n v="388.82"/>
    <n v="-0.16564537094047166"/>
    <d v="2026-04-21T20:11:03"/>
  </r>
  <r>
    <s v="CUST001"/>
    <x v="13"/>
    <x v="0"/>
    <x v="3"/>
    <x v="32"/>
    <n v="5"/>
    <x v="2"/>
    <x v="21"/>
    <n v="253.98"/>
    <n v="0.13373237126926857"/>
    <d v="2026-04-21T20:11:03"/>
  </r>
  <r>
    <s v="CUST021"/>
    <x v="11"/>
    <x v="2"/>
    <x v="2"/>
    <x v="33"/>
    <n v="10"/>
    <x v="3"/>
    <x v="22"/>
    <n v="217.78"/>
    <n v="0.24074016675448667"/>
    <d v="2026-04-21T20:11:03"/>
  </r>
  <r>
    <s v="CUST015"/>
    <x v="17"/>
    <x v="3"/>
    <x v="4"/>
    <x v="34"/>
    <n v="14"/>
    <x v="4"/>
    <x v="22"/>
    <n v="513.38"/>
    <n v="-0.60664501623782163"/>
    <d v="2026-04-21T20:11:03"/>
  </r>
  <r>
    <s v="CUST012"/>
    <x v="4"/>
    <x v="0"/>
    <x v="0"/>
    <x v="35"/>
    <n v="12"/>
    <x v="0"/>
    <x v="22"/>
    <n v="151.16"/>
    <n v="0.78017697616325832"/>
    <d v="2026-04-21T20:11:03"/>
  </r>
  <r>
    <s v="CUST019"/>
    <x v="18"/>
    <x v="1"/>
    <x v="4"/>
    <x v="36"/>
    <n v="9"/>
    <x v="4"/>
    <x v="22"/>
    <n v="359.49"/>
    <n v="0.67680635494458452"/>
    <d v="2026-04-21T20:11:03"/>
  </r>
  <r>
    <s v="CUST028"/>
    <x v="14"/>
    <x v="4"/>
    <x v="3"/>
    <x v="37"/>
    <n v="11"/>
    <x v="4"/>
    <x v="23"/>
    <n v="468.84"/>
    <n v="-0.4517325503879267"/>
    <d v="2026-04-21T20:11:03"/>
  </r>
  <r>
    <s v="CUST008"/>
    <x v="20"/>
    <x v="4"/>
    <x v="3"/>
    <x v="38"/>
    <n v="13"/>
    <x v="2"/>
    <x v="23"/>
    <n v="229.99"/>
    <n v="-0.24920772484445547"/>
    <d v="2026-04-21T20:11:03"/>
  </r>
  <r>
    <s v="CUST016"/>
    <x v="21"/>
    <x v="1"/>
    <x v="0"/>
    <x v="39"/>
    <n v="19"/>
    <x v="2"/>
    <x v="24"/>
    <n v="197.35"/>
    <n v="0.98337439484520117"/>
    <d v="2026-04-21T20:11:03"/>
  </r>
  <r>
    <s v="CUST005"/>
    <x v="10"/>
    <x v="2"/>
    <x v="0"/>
    <x v="40"/>
    <n v="15"/>
    <x v="3"/>
    <x v="25"/>
    <n v="414.44"/>
    <n v="-0.10878119543784368"/>
    <d v="2026-04-21T20:11:03"/>
  </r>
  <r>
    <s v="CUST028"/>
    <x v="3"/>
    <x v="4"/>
    <x v="4"/>
    <x v="41"/>
    <n v="5"/>
    <x v="0"/>
    <x v="26"/>
    <n v="369.35"/>
    <n v="-0.45766974015088019"/>
    <d v="2026-04-21T20:11:03"/>
  </r>
  <r>
    <s v="CUST023"/>
    <x v="19"/>
    <x v="1"/>
    <x v="4"/>
    <x v="42"/>
    <n v="11"/>
    <x v="2"/>
    <x v="26"/>
    <n v="212.83"/>
    <n v="0.51117860608892574"/>
    <d v="2026-04-21T20:11:03"/>
  </r>
  <r>
    <s v="CUST021"/>
    <x v="3"/>
    <x v="4"/>
    <x v="0"/>
    <x v="43"/>
    <n v="19"/>
    <x v="3"/>
    <x v="27"/>
    <n v="302.70999999999998"/>
    <n v="0.45953499435095435"/>
    <d v="2026-04-21T20:11:03"/>
  </r>
  <r>
    <s v="CUST026"/>
    <x v="21"/>
    <x v="3"/>
    <x v="3"/>
    <x v="44"/>
    <n v="12"/>
    <x v="2"/>
    <x v="27"/>
    <n v="365.11"/>
    <n v="-0.3019352210226115"/>
    <d v="2026-04-21T20:11:03"/>
  </r>
  <r>
    <s v="CUST017"/>
    <x v="22"/>
    <x v="4"/>
    <x v="2"/>
    <x v="45"/>
    <n v="2"/>
    <x v="1"/>
    <x v="28"/>
    <n v="214.18"/>
    <n v="0.4303957044472978"/>
    <d v="2026-04-21T20:11:03"/>
  </r>
  <r>
    <s v="CUST025"/>
    <x v="19"/>
    <x v="4"/>
    <x v="4"/>
    <x v="46"/>
    <n v="8"/>
    <x v="2"/>
    <x v="28"/>
    <n v="468.72"/>
    <n v="-0.18267206345579476"/>
    <d v="2026-04-21T20:11:03"/>
  </r>
  <r>
    <s v="CUST011"/>
    <x v="6"/>
    <x v="3"/>
    <x v="4"/>
    <x v="47"/>
    <n v="12"/>
    <x v="1"/>
    <x v="29"/>
    <n v="450.71"/>
    <n v="0.18498956638078201"/>
    <d v="2026-04-21T20:11:03"/>
  </r>
  <r>
    <s v="CUST021"/>
    <x v="4"/>
    <x v="1"/>
    <x v="3"/>
    <x v="48"/>
    <n v="19"/>
    <x v="0"/>
    <x v="30"/>
    <n v="332.32"/>
    <n v="-0.34663184058642615"/>
    <d v="2026-04-21T20:11:03"/>
  </r>
  <r>
    <s v="CUST008"/>
    <x v="16"/>
    <x v="2"/>
    <x v="2"/>
    <x v="49"/>
    <n v="6"/>
    <x v="3"/>
    <x v="31"/>
    <n v="174.48"/>
    <n v="0.3172609452575923"/>
    <d v="2026-04-21T20:11:03"/>
  </r>
  <r>
    <s v="CUST007"/>
    <x v="7"/>
    <x v="2"/>
    <x v="2"/>
    <x v="50"/>
    <n v="6"/>
    <x v="4"/>
    <x v="32"/>
    <n v="242.6"/>
    <n v="0.20083800796890741"/>
    <d v="2026-04-21T20:11:03"/>
  </r>
  <r>
    <s v="CUST015"/>
    <x v="3"/>
    <x v="2"/>
    <x v="1"/>
    <x v="51"/>
    <n v="7"/>
    <x v="3"/>
    <x v="33"/>
    <n v="551.98"/>
    <n v="-0.11388204986059239"/>
    <d v="2026-04-21T20:11:03"/>
  </r>
  <r>
    <s v="CUST030"/>
    <x v="23"/>
    <x v="2"/>
    <x v="3"/>
    <x v="52"/>
    <n v="2"/>
    <x v="1"/>
    <x v="34"/>
    <n v="380.43"/>
    <n v="-0.13251083326433172"/>
    <d v="2026-04-21T20:11:03"/>
  </r>
  <r>
    <s v="CUST002"/>
    <x v="14"/>
    <x v="0"/>
    <x v="0"/>
    <x v="53"/>
    <n v="18"/>
    <x v="3"/>
    <x v="35"/>
    <n v="339.44"/>
    <n v="-0.13161522961077529"/>
    <d v="2026-04-21T20:11:03"/>
  </r>
  <r>
    <s v="CUST009"/>
    <x v="9"/>
    <x v="3"/>
    <x v="2"/>
    <x v="54"/>
    <n v="15"/>
    <x v="2"/>
    <x v="36"/>
    <n v="173.99"/>
    <n v="0.12242305813385444"/>
    <d v="2026-04-21T20:11:03"/>
  </r>
  <r>
    <s v="CUST005"/>
    <x v="1"/>
    <x v="2"/>
    <x v="3"/>
    <x v="55"/>
    <n v="10"/>
    <x v="0"/>
    <x v="36"/>
    <n v="257.33"/>
    <n v="5.8996344011142093E-2"/>
    <d v="2026-04-21T20:11:03"/>
  </r>
  <r>
    <s v="CUST030"/>
    <x v="24"/>
    <x v="4"/>
    <x v="0"/>
    <x v="56"/>
    <n v="11"/>
    <x v="1"/>
    <x v="37"/>
    <n v="389.3"/>
    <n v="-0.23801450794237919"/>
    <d v="2026-04-21T20:11:03"/>
  </r>
  <r>
    <s v="CUST029"/>
    <x v="23"/>
    <x v="3"/>
    <x v="2"/>
    <x v="57"/>
    <n v="1"/>
    <x v="0"/>
    <x v="38"/>
    <n v="148.32"/>
    <n v="0.68393090708054083"/>
    <d v="2026-04-21T20:11:03"/>
  </r>
  <r>
    <s v="CUST003"/>
    <x v="9"/>
    <x v="3"/>
    <x v="0"/>
    <x v="58"/>
    <n v="2"/>
    <x v="3"/>
    <x v="39"/>
    <n v="449.58"/>
    <n v="8.9316314600983299E-2"/>
    <d v="2026-04-21T20:11:03"/>
  </r>
  <r>
    <s v="CUST012"/>
    <x v="20"/>
    <x v="0"/>
    <x v="1"/>
    <x v="59"/>
    <n v="17"/>
    <x v="1"/>
    <x v="39"/>
    <n v="680.18"/>
    <n v="1.6863183275015479E-2"/>
    <d v="2026-04-21T20:11:03"/>
  </r>
  <r>
    <s v="CUST021"/>
    <x v="6"/>
    <x v="1"/>
    <x v="0"/>
    <x v="60"/>
    <n v="8"/>
    <x v="3"/>
    <x v="40"/>
    <n v="497.99"/>
    <n v="-0.64650473505385675"/>
    <d v="2026-04-21T20:11:03"/>
  </r>
  <r>
    <s v="CUST010"/>
    <x v="18"/>
    <x v="4"/>
    <x v="4"/>
    <x v="61"/>
    <n v="9"/>
    <x v="1"/>
    <x v="41"/>
    <n v="220.05"/>
    <n v="0.90946645125667192"/>
    <d v="2026-04-21T20:11:03"/>
  </r>
  <r>
    <s v="CUST026"/>
    <x v="6"/>
    <x v="1"/>
    <x v="3"/>
    <x v="62"/>
    <n v="17"/>
    <x v="3"/>
    <x v="42"/>
    <n v="294.12"/>
    <n v="7.6918957706354152E-2"/>
    <d v="2026-04-21T20:11:03"/>
  </r>
  <r>
    <s v="CUST003"/>
    <x v="0"/>
    <x v="0"/>
    <x v="2"/>
    <x v="63"/>
    <n v="17"/>
    <x v="0"/>
    <x v="42"/>
    <n v="201.11"/>
    <n v="9.4049904030710119E-2"/>
    <d v="2026-04-21T20:11:03"/>
  </r>
  <r>
    <s v="CUST029"/>
    <x v="21"/>
    <x v="2"/>
    <x v="2"/>
    <x v="64"/>
    <n v="5"/>
    <x v="4"/>
    <x v="43"/>
    <n v="261.27"/>
    <n v="-5.9449140987182868E-2"/>
    <d v="2026-04-21T20:11:03"/>
  </r>
  <r>
    <s v="CUST003"/>
    <x v="3"/>
    <x v="3"/>
    <x v="3"/>
    <x v="65"/>
    <n v="15"/>
    <x v="2"/>
    <x v="44"/>
    <n v="307.82"/>
    <n v="-0.15295254663187396"/>
    <d v="2026-04-21T20:11:03"/>
  </r>
  <r>
    <s v="CUST002"/>
    <x v="6"/>
    <x v="2"/>
    <x v="0"/>
    <x v="66"/>
    <n v="12"/>
    <x v="4"/>
    <x v="45"/>
    <n v="333.05"/>
    <n v="0.56467071334033114"/>
    <d v="2026-04-21T20:11:03"/>
  </r>
  <r>
    <s v="CUST020"/>
    <x v="18"/>
    <x v="0"/>
    <x v="3"/>
    <x v="67"/>
    <n v="5"/>
    <x v="4"/>
    <x v="45"/>
    <n v="455.97"/>
    <n v="-0.25601236746539879"/>
    <d v="2026-04-21T20:11:03"/>
  </r>
  <r>
    <s v="CUST021"/>
    <x v="13"/>
    <x v="3"/>
    <x v="2"/>
    <x v="68"/>
    <n v="11"/>
    <x v="4"/>
    <x v="46"/>
    <n v="242.31"/>
    <n v="-0.21117166212534064"/>
    <d v="2026-04-21T20:11:03"/>
  </r>
  <r>
    <s v="CUST008"/>
    <x v="0"/>
    <x v="4"/>
    <x v="4"/>
    <x v="69"/>
    <n v="1"/>
    <x v="4"/>
    <x v="47"/>
    <n v="344.06"/>
    <n v="-0.24372212074899666"/>
    <d v="2026-04-21T20:11:03"/>
  </r>
  <r>
    <s v="CUST030"/>
    <x v="18"/>
    <x v="4"/>
    <x v="2"/>
    <x v="70"/>
    <n v="1"/>
    <x v="4"/>
    <x v="48"/>
    <n v="144.56"/>
    <n v="0.61206584957118937"/>
    <d v="2026-04-21T20:11:03"/>
  </r>
  <r>
    <s v="CUST020"/>
    <x v="25"/>
    <x v="2"/>
    <x v="4"/>
    <x v="71"/>
    <n v="19"/>
    <x v="1"/>
    <x v="49"/>
    <n v="441.54"/>
    <n v="-0.44988789237668164"/>
    <d v="2026-04-21T20:11:03"/>
  </r>
  <r>
    <s v="CUST024"/>
    <x v="18"/>
    <x v="1"/>
    <x v="2"/>
    <x v="72"/>
    <n v="10"/>
    <x v="2"/>
    <x v="50"/>
    <n v="114.7"/>
    <n v="0.4903570039090725"/>
    <d v="2026-04-21T20:11:03"/>
  </r>
  <r>
    <s v="CUST012"/>
    <x v="26"/>
    <x v="2"/>
    <x v="0"/>
    <x v="73"/>
    <n v="5"/>
    <x v="0"/>
    <x v="50"/>
    <n v="257.42"/>
    <n v="0.8976940766983651"/>
    <d v="2026-04-21T20:11:03"/>
  </r>
  <r>
    <s v="CUST024"/>
    <x v="9"/>
    <x v="0"/>
    <x v="2"/>
    <x v="74"/>
    <n v="13"/>
    <x v="0"/>
    <x v="51"/>
    <n v="305.32"/>
    <n v="-0.20394340364208041"/>
    <d v="2026-04-21T20:11:03"/>
  </r>
  <r>
    <s v="CUST012"/>
    <x v="5"/>
    <x v="0"/>
    <x v="2"/>
    <x v="75"/>
    <n v="5"/>
    <x v="2"/>
    <x v="52"/>
    <n v="258.24"/>
    <n v="3.79178118262758E-2"/>
    <d v="2026-04-21T20:11:03"/>
  </r>
  <r>
    <s v="CUST005"/>
    <x v="17"/>
    <x v="4"/>
    <x v="3"/>
    <x v="76"/>
    <n v="3"/>
    <x v="1"/>
    <x v="53"/>
    <n v="441.47"/>
    <n v="-0.589270141278323"/>
    <d v="2026-04-21T20:11:03"/>
  </r>
  <r>
    <s v="CUST004"/>
    <x v="12"/>
    <x v="3"/>
    <x v="3"/>
    <x v="77"/>
    <n v="7"/>
    <x v="4"/>
    <x v="54"/>
    <n v="172.26"/>
    <n v="1.1451541297508054"/>
    <d v="2026-04-21T20:11:03"/>
  </r>
  <r>
    <s v="CUST026"/>
    <x v="5"/>
    <x v="0"/>
    <x v="4"/>
    <x v="78"/>
    <n v="1"/>
    <x v="1"/>
    <x v="55"/>
    <n v="500.1"/>
    <n v="0.16208361077618022"/>
    <d v="2026-04-21T20:11:03"/>
  </r>
  <r>
    <s v="CUST030"/>
    <x v="6"/>
    <x v="1"/>
    <x v="1"/>
    <x v="79"/>
    <n v="18"/>
    <x v="3"/>
    <x v="56"/>
    <n v="581.16"/>
    <n v="-0.4736927687054287"/>
    <d v="2026-04-21T20:11:03"/>
  </r>
  <r>
    <s v="CUST007"/>
    <x v="18"/>
    <x v="3"/>
    <x v="0"/>
    <x v="80"/>
    <n v="19"/>
    <x v="1"/>
    <x v="57"/>
    <n v="271.88"/>
    <n v="0.68261464448073439"/>
    <d v="2026-04-21T20:11:03"/>
  </r>
  <r>
    <s v="CUST020"/>
    <x v="7"/>
    <x v="1"/>
    <x v="3"/>
    <x v="81"/>
    <n v="17"/>
    <x v="1"/>
    <x v="57"/>
    <n v="400.29"/>
    <n v="-0.30918343257351205"/>
    <d v="2026-04-21T20:11:03"/>
  </r>
  <r>
    <s v="CUST028"/>
    <x v="15"/>
    <x v="4"/>
    <x v="2"/>
    <x v="82"/>
    <n v="7"/>
    <x v="3"/>
    <x v="58"/>
    <n v="177.77"/>
    <n v="0.35515390846496558"/>
    <d v="2026-04-21T20:11:03"/>
  </r>
  <r>
    <s v="CUST005"/>
    <x v="14"/>
    <x v="4"/>
    <x v="0"/>
    <x v="83"/>
    <n v="7"/>
    <x v="4"/>
    <x v="58"/>
    <n v="406.86"/>
    <n v="9.1726753091493279E-2"/>
    <d v="2026-04-21T20:11:03"/>
  </r>
  <r>
    <s v="CUST015"/>
    <x v="8"/>
    <x v="0"/>
    <x v="1"/>
    <x v="84"/>
    <n v="4"/>
    <x v="3"/>
    <x v="59"/>
    <n v="526"/>
    <n v="0.14285347637502227"/>
    <d v="2026-04-21T20:11:03"/>
  </r>
  <r>
    <s v="CUST003"/>
    <x v="0"/>
    <x v="2"/>
    <x v="2"/>
    <x v="85"/>
    <n v="17"/>
    <x v="1"/>
    <x v="59"/>
    <n v="333.97"/>
    <n v="-0.34596929341926974"/>
    <d v="2026-04-21T20:11:03"/>
  </r>
  <r>
    <s v="CUST023"/>
    <x v="18"/>
    <x v="1"/>
    <x v="3"/>
    <x v="86"/>
    <n v="9"/>
    <x v="1"/>
    <x v="60"/>
    <n v="305.8"/>
    <n v="0.65271832436763189"/>
    <d v="2026-04-21T20:11:03"/>
  </r>
  <r>
    <s v="CUST004"/>
    <x v="23"/>
    <x v="0"/>
    <x v="4"/>
    <x v="87"/>
    <n v="19"/>
    <x v="1"/>
    <x v="61"/>
    <n v="649.79"/>
    <n v="-0.200591420933808"/>
    <d v="2026-04-21T20:11:03"/>
  </r>
  <r>
    <s v="CUST023"/>
    <x v="3"/>
    <x v="1"/>
    <x v="4"/>
    <x v="88"/>
    <n v="11"/>
    <x v="2"/>
    <x v="62"/>
    <n v="441.53"/>
    <n v="9.5431982188802236E-2"/>
    <d v="2026-04-21T20:11:03"/>
  </r>
  <r>
    <s v="CUST022"/>
    <x v="15"/>
    <x v="2"/>
    <x v="0"/>
    <x v="89"/>
    <n v="16"/>
    <x v="4"/>
    <x v="62"/>
    <n v="480.51"/>
    <n v="-0.12885827487761869"/>
    <d v="2026-04-21T20:11:03"/>
  </r>
  <r>
    <s v="CUST007"/>
    <x v="24"/>
    <x v="0"/>
    <x v="3"/>
    <x v="90"/>
    <n v="4"/>
    <x v="3"/>
    <x v="63"/>
    <n v="346.99"/>
    <n v="-0.33935817711406652"/>
    <d v="2026-04-21T20:11:03"/>
  </r>
  <r>
    <s v="CUST013"/>
    <x v="1"/>
    <x v="2"/>
    <x v="3"/>
    <x v="91"/>
    <n v="1"/>
    <x v="3"/>
    <x v="64"/>
    <n v="229.23"/>
    <n v="0.20293240624957051"/>
    <d v="2026-04-21T20:11:03"/>
  </r>
  <r>
    <s v="CUST027"/>
    <x v="9"/>
    <x v="1"/>
    <x v="4"/>
    <x v="92"/>
    <n v="13"/>
    <x v="2"/>
    <x v="64"/>
    <n v="334.84"/>
    <n v="0.32388252361750502"/>
    <d v="2026-04-21T20:11:03"/>
  </r>
  <r>
    <s v="CUST003"/>
    <x v="3"/>
    <x v="0"/>
    <x v="2"/>
    <x v="93"/>
    <n v="19"/>
    <x v="0"/>
    <x v="65"/>
    <n v="231.79"/>
    <n v="-0.16622085699000819"/>
    <d v="2026-04-21T20:11:03"/>
  </r>
  <r>
    <s v="CUST018"/>
    <x v="13"/>
    <x v="2"/>
    <x v="0"/>
    <x v="94"/>
    <n v="2"/>
    <x v="2"/>
    <x v="66"/>
    <n v="328.54"/>
    <n v="-5.0522612025250893E-2"/>
    <d v="2026-04-21T20:11:03"/>
  </r>
  <r>
    <s v="CUST020"/>
    <x v="2"/>
    <x v="2"/>
    <x v="0"/>
    <x v="95"/>
    <n v="6"/>
    <x v="1"/>
    <x v="67"/>
    <n v="366.99"/>
    <n v="0.27846928543401489"/>
    <d v="2026-04-21T20:11:03"/>
  </r>
  <r>
    <s v="CUST029"/>
    <x v="21"/>
    <x v="0"/>
    <x v="3"/>
    <x v="96"/>
    <n v="7"/>
    <x v="2"/>
    <x v="68"/>
    <n v="348.96"/>
    <n v="2.8005831351185374E-2"/>
    <d v="2026-04-21T20:11:03"/>
  </r>
  <r>
    <s v="CUST021"/>
    <x v="3"/>
    <x v="3"/>
    <x v="1"/>
    <x v="97"/>
    <n v="11"/>
    <x v="3"/>
    <x v="68"/>
    <n v="542.62"/>
    <n v="-0.31421771076943489"/>
    <d v="2026-04-21T20:11:03"/>
  </r>
  <r>
    <s v="CUST017"/>
    <x v="23"/>
    <x v="0"/>
    <x v="4"/>
    <x v="98"/>
    <n v="10"/>
    <x v="0"/>
    <x v="69"/>
    <n v="297.69"/>
    <n v="9.1011331067926068E-2"/>
    <d v="2026-04-21T20:11:03"/>
  </r>
  <r>
    <s v="CUST003"/>
    <x v="3"/>
    <x v="4"/>
    <x v="1"/>
    <x v="99"/>
    <n v="12"/>
    <x v="1"/>
    <x v="69"/>
    <n v="451.1"/>
    <n v="-0.35050266573559896"/>
    <d v="2026-04-21T20:11:03"/>
  </r>
  <r>
    <s v="CUST027"/>
    <x v="9"/>
    <x v="3"/>
    <x v="0"/>
    <x v="100"/>
    <n v="17"/>
    <x v="3"/>
    <x v="70"/>
    <n v="210.95"/>
    <n v="0.6898305373995256"/>
    <d v="2026-04-21T20:11:03"/>
  </r>
  <r>
    <s v="CUST016"/>
    <x v="4"/>
    <x v="3"/>
    <x v="1"/>
    <x v="101"/>
    <n v="8"/>
    <x v="3"/>
    <x v="70"/>
    <n v="445.59"/>
    <n v="2.413678182974982E-2"/>
    <d v="2026-04-21T20:11:03"/>
  </r>
  <r>
    <s v="CUST008"/>
    <x v="19"/>
    <x v="4"/>
    <x v="2"/>
    <x v="102"/>
    <n v="13"/>
    <x v="0"/>
    <x v="71"/>
    <n v="202.82"/>
    <n v="-8.7566192349791502E-2"/>
    <d v="2026-04-21T20:11:03"/>
  </r>
  <r>
    <s v="CUST012"/>
    <x v="14"/>
    <x v="3"/>
    <x v="2"/>
    <x v="103"/>
    <n v="17"/>
    <x v="1"/>
    <x v="72"/>
    <n v="231.32"/>
    <n v="0.39041813917798746"/>
    <d v="2026-04-21T20:11:03"/>
  </r>
  <r>
    <s v="CUST025"/>
    <x v="13"/>
    <x v="1"/>
    <x v="3"/>
    <x v="104"/>
    <n v="8"/>
    <x v="1"/>
    <x v="73"/>
    <n v="450.29"/>
    <n v="-0.25255336017535401"/>
    <d v="2026-04-21T20:11:03"/>
  </r>
  <r>
    <s v="CUST014"/>
    <x v="23"/>
    <x v="2"/>
    <x v="0"/>
    <x v="105"/>
    <n v="8"/>
    <x v="0"/>
    <x v="74"/>
    <n v="307.72000000000003"/>
    <n v="0.12429026018593634"/>
    <d v="2026-04-21T20:11:03"/>
  </r>
  <r>
    <s v="CUST008"/>
    <x v="3"/>
    <x v="1"/>
    <x v="0"/>
    <x v="106"/>
    <n v="19"/>
    <x v="2"/>
    <x v="74"/>
    <n v="367.59"/>
    <n v="0.77928852877518162"/>
    <d v="2026-04-21T20:11:03"/>
  </r>
  <r>
    <s v="CUST015"/>
    <x v="3"/>
    <x v="0"/>
    <x v="1"/>
    <x v="107"/>
    <n v="9"/>
    <x v="0"/>
    <x v="75"/>
    <n v="769.46"/>
    <n v="-0.62118565650894653"/>
    <d v="2026-04-21T20:11:03"/>
  </r>
  <r>
    <s v="CUST025"/>
    <x v="24"/>
    <x v="4"/>
    <x v="1"/>
    <x v="108"/>
    <n v="14"/>
    <x v="3"/>
    <x v="76"/>
    <n v="327.92"/>
    <n v="0.78656804490126397"/>
    <d v="2026-04-21T20:11:03"/>
  </r>
  <r>
    <s v="CUST019"/>
    <x v="7"/>
    <x v="4"/>
    <x v="1"/>
    <x v="109"/>
    <n v="7"/>
    <x v="2"/>
    <x v="76"/>
    <n v="553.29999999999995"/>
    <n v="-0.24710997088847761"/>
    <d v="2026-04-21T20:11:03"/>
  </r>
  <r>
    <s v="CUST024"/>
    <x v="24"/>
    <x v="1"/>
    <x v="0"/>
    <x v="110"/>
    <n v="16"/>
    <x v="3"/>
    <x v="77"/>
    <n v="352.86"/>
    <n v="-0.28832459344202077"/>
    <d v="2026-04-21T20:11:03"/>
  </r>
  <r>
    <s v="CUST027"/>
    <x v="3"/>
    <x v="0"/>
    <x v="1"/>
    <x v="111"/>
    <n v="17"/>
    <x v="3"/>
    <x v="78"/>
    <n v="313.91000000000003"/>
    <n v="0.71109709419843148"/>
    <d v="2026-04-21T20:11:03"/>
  </r>
  <r>
    <s v="CUST006"/>
    <x v="26"/>
    <x v="0"/>
    <x v="3"/>
    <x v="112"/>
    <n v="1"/>
    <x v="2"/>
    <x v="78"/>
    <n v="355.1"/>
    <n v="-0.35404361558633052"/>
    <d v="2026-04-21T20:11:03"/>
  </r>
  <r>
    <s v="CUST009"/>
    <x v="9"/>
    <x v="2"/>
    <x v="2"/>
    <x v="113"/>
    <n v="1"/>
    <x v="1"/>
    <x v="79"/>
    <n v="192.76"/>
    <n v="-0.1425773650488962"/>
    <d v="2026-04-21T20:11:03"/>
  </r>
  <r>
    <s v="CUST003"/>
    <x v="25"/>
    <x v="3"/>
    <x v="1"/>
    <x v="114"/>
    <n v="1"/>
    <x v="0"/>
    <x v="80"/>
    <n v="264.44"/>
    <n v="4.1961003796759912E-2"/>
    <d v="2026-04-21T20:11:03"/>
  </r>
  <r>
    <s v="CUST012"/>
    <x v="18"/>
    <x v="0"/>
    <x v="2"/>
    <x v="115"/>
    <n v="15"/>
    <x v="1"/>
    <x v="81"/>
    <n v="172.21"/>
    <n v="0.81336469085260488"/>
    <d v="2026-04-21T20:11:03"/>
  </r>
  <r>
    <s v="CUST013"/>
    <x v="5"/>
    <x v="4"/>
    <x v="0"/>
    <x v="116"/>
    <n v="4"/>
    <x v="4"/>
    <x v="82"/>
    <n v="474.66"/>
    <n v="-0.18803938835961884"/>
    <d v="2026-04-21T20:11:03"/>
  </r>
  <r>
    <s v="CUST008"/>
    <x v="3"/>
    <x v="1"/>
    <x v="4"/>
    <x v="117"/>
    <n v="14"/>
    <x v="4"/>
    <x v="83"/>
    <n v="433.58"/>
    <n v="-3.5889649188538841E-3"/>
    <d v="2026-04-21T20:11:03"/>
  </r>
  <r>
    <s v="CUST025"/>
    <x v="14"/>
    <x v="1"/>
    <x v="0"/>
    <x v="118"/>
    <n v="2"/>
    <x v="2"/>
    <x v="84"/>
    <n v="343.6"/>
    <n v="-5.2732094440816238E-2"/>
    <d v="2026-04-21T20:11:03"/>
  </r>
  <r>
    <s v="CUST026"/>
    <x v="20"/>
    <x v="3"/>
    <x v="3"/>
    <x v="119"/>
    <n v="4"/>
    <x v="4"/>
    <x v="84"/>
    <n v="318.3"/>
    <n v="0.12601197129396538"/>
    <d v="2026-04-21T20:11:03"/>
  </r>
  <r>
    <s v="CUST001"/>
    <x v="12"/>
    <x v="3"/>
    <x v="3"/>
    <x v="120"/>
    <n v="3"/>
    <x v="4"/>
    <x v="85"/>
    <n v="358.41"/>
    <n v="7.8939067834347551E-2"/>
    <d v="2026-04-21T20:11:03"/>
  </r>
  <r>
    <s v="CUST028"/>
    <x v="15"/>
    <x v="2"/>
    <x v="1"/>
    <x v="121"/>
    <n v="5"/>
    <x v="1"/>
    <x v="86"/>
    <n v="581.5"/>
    <n v="-0.12764292654405382"/>
    <d v="2026-04-21T20:11:03"/>
  </r>
  <r>
    <s v="CUST025"/>
    <x v="12"/>
    <x v="1"/>
    <x v="4"/>
    <x v="122"/>
    <n v="10"/>
    <x v="3"/>
    <x v="87"/>
    <n v="410.9"/>
    <n v="-0.29226462703043682"/>
    <d v="2026-04-21T20:11:03"/>
  </r>
  <r>
    <s v="CUST019"/>
    <x v="2"/>
    <x v="2"/>
    <x v="2"/>
    <x v="123"/>
    <n v="14"/>
    <x v="1"/>
    <x v="88"/>
    <n v="179.51"/>
    <n v="0.77963623196479304"/>
    <d v="2026-04-21T20:11:03"/>
  </r>
  <r>
    <s v="CUST004"/>
    <x v="2"/>
    <x v="4"/>
    <x v="1"/>
    <x v="124"/>
    <n v="18"/>
    <x v="0"/>
    <x v="88"/>
    <n v="511.14"/>
    <n v="-0.44693821653558707"/>
    <d v="2026-04-21T20:11:03"/>
  </r>
  <r>
    <s v="CUST024"/>
    <x v="3"/>
    <x v="3"/>
    <x v="2"/>
    <x v="125"/>
    <n v="1"/>
    <x v="2"/>
    <x v="88"/>
    <n v="150.18"/>
    <n v="0.99593904319895843"/>
    <d v="2026-04-21T20:11:03"/>
  </r>
  <r>
    <s v="CUST002"/>
    <x v="15"/>
    <x v="1"/>
    <x v="2"/>
    <x v="126"/>
    <n v="15"/>
    <x v="1"/>
    <x v="89"/>
    <n v="352.65"/>
    <n v="-4.2719713027881946E-2"/>
    <d v="2026-04-21T20:11:03"/>
  </r>
  <r>
    <s v="CUST009"/>
    <x v="21"/>
    <x v="2"/>
    <x v="3"/>
    <x v="127"/>
    <n v="10"/>
    <x v="1"/>
    <x v="89"/>
    <n v="472.62"/>
    <n v="-0.31929232113631484"/>
    <d v="2026-04-21T20:11:03"/>
  </r>
  <r>
    <s v="CUST029"/>
    <x v="12"/>
    <x v="1"/>
    <x v="2"/>
    <x v="128"/>
    <n v="4"/>
    <x v="2"/>
    <x v="89"/>
    <n v="195.33"/>
    <n v="-0.71876019930807888"/>
    <d v="2026-04-21T20:11:03"/>
  </r>
  <r>
    <s v="CUST027"/>
    <x v="3"/>
    <x v="0"/>
    <x v="2"/>
    <x v="129"/>
    <n v="19"/>
    <x v="1"/>
    <x v="90"/>
    <n v="64.63"/>
    <n v="3.6941317550578319"/>
    <d v="2026-04-21T20:11:03"/>
  </r>
  <r>
    <s v="CUST011"/>
    <x v="21"/>
    <x v="1"/>
    <x v="0"/>
    <x v="130"/>
    <n v="5"/>
    <x v="4"/>
    <x v="90"/>
    <n v="461.12"/>
    <n v="-5.2081616507894689E-2"/>
    <d v="2026-04-21T20:11:03"/>
  </r>
  <r>
    <s v="CUST021"/>
    <x v="9"/>
    <x v="4"/>
    <x v="0"/>
    <x v="131"/>
    <n v="8"/>
    <x v="4"/>
    <x v="91"/>
    <n v="437.11"/>
    <n v="-0.25769377890600548"/>
    <d v="2026-04-21T20:11:03"/>
  </r>
  <r>
    <s v="CUST014"/>
    <x v="26"/>
    <x v="2"/>
    <x v="3"/>
    <x v="132"/>
    <n v="8"/>
    <x v="3"/>
    <x v="91"/>
    <n v="268.97000000000003"/>
    <n v="0.24263930855175314"/>
    <d v="2026-04-21T20:11:03"/>
  </r>
  <r>
    <s v="CUST018"/>
    <x v="12"/>
    <x v="2"/>
    <x v="2"/>
    <x v="133"/>
    <n v="1"/>
    <x v="1"/>
    <x v="92"/>
    <n v="265.26"/>
    <n v="-0.15691208625499511"/>
    <d v="2026-04-21T20:11:03"/>
  </r>
  <r>
    <s v="CUST001"/>
    <x v="11"/>
    <x v="0"/>
    <x v="2"/>
    <x v="134"/>
    <n v="19"/>
    <x v="0"/>
    <x v="93"/>
    <n v="178.91"/>
    <n v="-6.778827343356994E-2"/>
    <d v="2026-04-21T20:11:03"/>
  </r>
  <r>
    <s v="CUST007"/>
    <x v="9"/>
    <x v="3"/>
    <x v="4"/>
    <x v="135"/>
    <n v="3"/>
    <x v="4"/>
    <x v="94"/>
    <n v="356.5"/>
    <n v="-1.6452614790564826E-2"/>
    <d v="2026-04-21T20:11:03"/>
  </r>
  <r>
    <s v="CUST015"/>
    <x v="26"/>
    <x v="0"/>
    <x v="3"/>
    <x v="136"/>
    <n v="4"/>
    <x v="0"/>
    <x v="95"/>
    <n v="229.65"/>
    <n v="-0.37607139809068635"/>
    <d v="2026-04-21T20:11:03"/>
  </r>
  <r>
    <s v="CUST015"/>
    <x v="9"/>
    <x v="4"/>
    <x v="2"/>
    <x v="137"/>
    <n v="8"/>
    <x v="4"/>
    <x v="96"/>
    <n v="121.54"/>
    <n v="0.57507718763434545"/>
    <d v="2026-04-21T20:11:03"/>
  </r>
  <r>
    <s v="CUST002"/>
    <x v="21"/>
    <x v="2"/>
    <x v="3"/>
    <x v="138"/>
    <n v="19"/>
    <x v="4"/>
    <x v="97"/>
    <n v="268"/>
    <n v="0.77719191593365022"/>
    <d v="2026-04-21T20:11:03"/>
  </r>
  <r>
    <s v="CUST001"/>
    <x v="4"/>
    <x v="4"/>
    <x v="3"/>
    <x v="139"/>
    <n v="16"/>
    <x v="2"/>
    <x v="98"/>
    <n v="426.16"/>
    <n v="3.9170104784044271E-2"/>
    <d v="2026-04-21T20:11:03"/>
  </r>
  <r>
    <s v="CUST027"/>
    <x v="5"/>
    <x v="4"/>
    <x v="2"/>
    <x v="140"/>
    <n v="10"/>
    <x v="2"/>
    <x v="98"/>
    <n v="316.32"/>
    <n v="-0.17286272823764928"/>
    <d v="2026-04-21T20:11:03"/>
  </r>
  <r>
    <s v="CUST026"/>
    <x v="24"/>
    <x v="1"/>
    <x v="0"/>
    <x v="141"/>
    <n v="9"/>
    <x v="1"/>
    <x v="99"/>
    <n v="492.5"/>
    <n v="-5.651933791400672E-2"/>
    <d v="2026-04-21T20:11:03"/>
  </r>
  <r>
    <s v="CUST026"/>
    <x v="11"/>
    <x v="0"/>
    <x v="2"/>
    <x v="142"/>
    <n v="19"/>
    <x v="0"/>
    <x v="100"/>
    <n v="232.33"/>
    <n v="-0.66580009813458207"/>
    <d v="2026-04-21T20:11:03"/>
  </r>
  <r>
    <s v="CUST022"/>
    <x v="12"/>
    <x v="4"/>
    <x v="4"/>
    <x v="143"/>
    <n v="16"/>
    <x v="4"/>
    <x v="101"/>
    <n v="165.97"/>
    <n v="3.0940164335574272"/>
    <d v="2026-04-21T20:11:03"/>
  </r>
  <r>
    <s v="CUST004"/>
    <x v="6"/>
    <x v="3"/>
    <x v="1"/>
    <x v="144"/>
    <n v="6"/>
    <x v="2"/>
    <x v="102"/>
    <n v="675.5"/>
    <n v="-0.78818688578223495"/>
    <d v="2026-04-21T20:11:03"/>
  </r>
  <r>
    <s v="CUST001"/>
    <x v="26"/>
    <x v="3"/>
    <x v="1"/>
    <x v="145"/>
    <n v="13"/>
    <x v="0"/>
    <x v="102"/>
    <n v="134.66"/>
    <n v="3.0212380443177085"/>
    <d v="2026-04-21T20:11:03"/>
  </r>
  <r>
    <s v="CUST022"/>
    <x v="3"/>
    <x v="0"/>
    <x v="0"/>
    <x v="146"/>
    <n v="14"/>
    <x v="3"/>
    <x v="103"/>
    <n v="487.36"/>
    <n v="-0.51055185811684234"/>
    <d v="2026-04-21T20:11:03"/>
  </r>
  <r>
    <s v="CUST011"/>
    <x v="25"/>
    <x v="4"/>
    <x v="1"/>
    <x v="147"/>
    <n v="11"/>
    <x v="4"/>
    <x v="104"/>
    <n v="314.74"/>
    <n v="-0.53302847829039701"/>
    <d v="2026-04-21T20:11:03"/>
  </r>
  <r>
    <s v="CUST028"/>
    <x v="14"/>
    <x v="3"/>
    <x v="4"/>
    <x v="148"/>
    <n v="1"/>
    <x v="0"/>
    <x v="104"/>
    <n v="111.39"/>
    <n v="1.8589942473014027"/>
    <d v="2026-04-21T20:11:03"/>
  </r>
  <r>
    <s v="CUST011"/>
    <x v="5"/>
    <x v="3"/>
    <x v="0"/>
    <x v="149"/>
    <n v="18"/>
    <x v="3"/>
    <x v="105"/>
    <n v="318.47000000000003"/>
    <n v="-0.15778348009902449"/>
    <d v="2026-04-21T20:11:03"/>
  </r>
  <r>
    <s v="CUST028"/>
    <x v="3"/>
    <x v="4"/>
    <x v="4"/>
    <x v="150"/>
    <n v="10"/>
    <x v="3"/>
    <x v="106"/>
    <n v="301.75"/>
    <n v="0.16801556942487092"/>
    <d v="2026-04-21T20:11:03"/>
  </r>
  <r>
    <s v="CUST016"/>
    <x v="2"/>
    <x v="2"/>
    <x v="1"/>
    <x v="151"/>
    <n v="5"/>
    <x v="4"/>
    <x v="106"/>
    <n v="413.36"/>
    <n v="-9.2389368327912887E-3"/>
    <d v="2026-04-21T20:11:03"/>
  </r>
  <r>
    <s v="CUST010"/>
    <x v="5"/>
    <x v="0"/>
    <x v="3"/>
    <x v="152"/>
    <n v="18"/>
    <x v="4"/>
    <x v="107"/>
    <n v="286.68"/>
    <n v="0.3583780837170461"/>
    <d v="2026-04-21T20:11:03"/>
  </r>
  <r>
    <s v="CUST013"/>
    <x v="20"/>
    <x v="3"/>
    <x v="1"/>
    <x v="153"/>
    <n v="19"/>
    <x v="4"/>
    <x v="108"/>
    <n v="556.30999999999995"/>
    <n v="-9.9574787820830374E-2"/>
    <d v="2026-04-21T20:11:03"/>
  </r>
  <r>
    <s v="CUST015"/>
    <x v="1"/>
    <x v="2"/>
    <x v="3"/>
    <x v="154"/>
    <n v="11"/>
    <x v="3"/>
    <x v="109"/>
    <n v="332.19"/>
    <n v="0.59422887270520419"/>
    <d v="2026-04-21T20:11:03"/>
  </r>
  <r>
    <s v="CUST015"/>
    <x v="3"/>
    <x v="3"/>
    <x v="2"/>
    <x v="155"/>
    <n v="5"/>
    <x v="0"/>
    <x v="110"/>
    <n v="336.24"/>
    <n v="-0.77410912378584473"/>
    <d v="2026-04-21T20:11:03"/>
  </r>
  <r>
    <s v="CUST015"/>
    <x v="8"/>
    <x v="0"/>
    <x v="1"/>
    <x v="156"/>
    <n v="9"/>
    <x v="4"/>
    <x v="111"/>
    <n v="180.39"/>
    <n v="1.8341627827369196"/>
    <d v="2026-04-21T20:11:03"/>
  </r>
  <r>
    <s v="CUST008"/>
    <x v="12"/>
    <x v="4"/>
    <x v="1"/>
    <x v="157"/>
    <n v="2"/>
    <x v="3"/>
    <x v="112"/>
    <n v="484.35"/>
    <n v="0.16201350886809818"/>
    <d v="2026-04-21T20:11:03"/>
  </r>
  <r>
    <s v="CUST008"/>
    <x v="6"/>
    <x v="4"/>
    <x v="4"/>
    <x v="158"/>
    <n v="7"/>
    <x v="1"/>
    <x v="112"/>
    <n v="562.82000000000005"/>
    <n v="-0.10583588521719672"/>
    <d v="2026-04-21T20:11:03"/>
  </r>
  <r>
    <s v="CUST023"/>
    <x v="2"/>
    <x v="2"/>
    <x v="1"/>
    <x v="159"/>
    <n v="6"/>
    <x v="0"/>
    <x v="112"/>
    <n v="447.34"/>
    <n v="0.45091832537510956"/>
    <d v="2026-04-21T20:11:03"/>
  </r>
  <r>
    <s v="CUST024"/>
    <x v="17"/>
    <x v="3"/>
    <x v="1"/>
    <x v="160"/>
    <n v="12"/>
    <x v="0"/>
    <x v="113"/>
    <n v="649.04999999999995"/>
    <n v="-0.60518174310682726"/>
    <d v="2026-04-21T20:11:03"/>
  </r>
  <r>
    <s v="CUST018"/>
    <x v="14"/>
    <x v="3"/>
    <x v="0"/>
    <x v="161"/>
    <n v="11"/>
    <x v="0"/>
    <x v="114"/>
    <n v="205"/>
    <n v="-8.6600899100899131E-2"/>
    <d v="2026-04-21T20:11:03"/>
  </r>
  <r>
    <s v="CUST030"/>
    <x v="11"/>
    <x v="0"/>
    <x v="1"/>
    <x v="162"/>
    <n v="17"/>
    <x v="3"/>
    <x v="115"/>
    <n v="263.32"/>
    <n v="0.8968829038211773"/>
    <d v="2026-04-21T20:11:03"/>
  </r>
  <r>
    <s v="CUST030"/>
    <x v="6"/>
    <x v="1"/>
    <x v="1"/>
    <x v="163"/>
    <n v="5"/>
    <x v="0"/>
    <x v="116"/>
    <n v="443.99"/>
    <n v="-1.0720913890340448E-2"/>
    <d v="2026-04-21T20:11:03"/>
  </r>
  <r>
    <s v="CUST015"/>
    <x v="12"/>
    <x v="1"/>
    <x v="0"/>
    <x v="164"/>
    <n v="9"/>
    <x v="3"/>
    <x v="117"/>
    <n v="395.31"/>
    <n v="-0.24663958910097619"/>
    <d v="2026-04-21T20:11:03"/>
  </r>
  <r>
    <s v="CUST002"/>
    <x v="14"/>
    <x v="0"/>
    <x v="4"/>
    <x v="165"/>
    <n v="7"/>
    <x v="3"/>
    <x v="118"/>
    <n v="335.04"/>
    <n v="-0.10319734058627984"/>
    <d v="2026-04-21T20:11:03"/>
  </r>
  <r>
    <s v="CUST024"/>
    <x v="5"/>
    <x v="4"/>
    <x v="1"/>
    <x v="166"/>
    <n v="16"/>
    <x v="3"/>
    <x v="119"/>
    <n v="333.85"/>
    <n v="0.76748261174313903"/>
    <d v="2026-04-21T20:11:03"/>
  </r>
  <r>
    <s v="CUST004"/>
    <x v="0"/>
    <x v="1"/>
    <x v="4"/>
    <x v="167"/>
    <n v="6"/>
    <x v="3"/>
    <x v="120"/>
    <n v="531.05999999999995"/>
    <n v="-0.56277168524930221"/>
    <d v="2026-04-21T20:11:03"/>
  </r>
  <r>
    <s v="CUST004"/>
    <x v="6"/>
    <x v="2"/>
    <x v="4"/>
    <x v="168"/>
    <n v="19"/>
    <x v="3"/>
    <x v="121"/>
    <n v="232.19"/>
    <n v="0.94519639991627702"/>
    <d v="2026-04-21T20:11:03"/>
  </r>
  <r>
    <s v="CUST028"/>
    <x v="3"/>
    <x v="0"/>
    <x v="2"/>
    <x v="169"/>
    <n v="14"/>
    <x v="0"/>
    <x v="122"/>
    <n v="223.04"/>
    <n v="-0.24154875271246928"/>
    <d v="2026-04-21T20:11:03"/>
  </r>
  <r>
    <s v="CUST012"/>
    <x v="12"/>
    <x v="3"/>
    <x v="1"/>
    <x v="170"/>
    <n v="4"/>
    <x v="1"/>
    <x v="123"/>
    <n v="422.92"/>
    <n v="0.21748794098174587"/>
    <d v="2026-04-21T20:11:03"/>
  </r>
  <r>
    <s v="CUST026"/>
    <x v="18"/>
    <x v="0"/>
    <x v="2"/>
    <x v="171"/>
    <n v="3"/>
    <x v="1"/>
    <x v="124"/>
    <n v="257.45"/>
    <n v="0.15539910662264517"/>
    <d v="2026-04-21T20:11:03"/>
  </r>
  <r>
    <s v="CUST009"/>
    <x v="6"/>
    <x v="3"/>
    <x v="0"/>
    <x v="172"/>
    <n v="2"/>
    <x v="0"/>
    <x v="125"/>
    <n v="380.75"/>
    <n v="-0.40808350772799473"/>
    <d v="2026-04-21T20:11:03"/>
  </r>
  <r>
    <s v="CUST003"/>
    <x v="11"/>
    <x v="2"/>
    <x v="0"/>
    <x v="173"/>
    <n v="15"/>
    <x v="0"/>
    <x v="126"/>
    <n v="225.37"/>
    <n v="1.2976940989379226"/>
    <d v="2026-04-21T20:11:03"/>
  </r>
  <r>
    <s v="CUST002"/>
    <x v="13"/>
    <x v="4"/>
    <x v="4"/>
    <x v="174"/>
    <n v="12"/>
    <x v="0"/>
    <x v="126"/>
    <n v="582.55999999999995"/>
    <n v="-0.37311984773392992"/>
    <d v="2026-04-21T20:11:03"/>
  </r>
  <r>
    <s v="CUST013"/>
    <x v="17"/>
    <x v="4"/>
    <x v="0"/>
    <x v="175"/>
    <n v="2"/>
    <x v="2"/>
    <x v="127"/>
    <n v="344.91"/>
    <n v="-0.1847934307936476"/>
    <d v="2026-04-21T20:11:03"/>
  </r>
  <r>
    <s v="CUST018"/>
    <x v="6"/>
    <x v="4"/>
    <x v="1"/>
    <x v="176"/>
    <n v="18"/>
    <x v="0"/>
    <x v="128"/>
    <n v="330.79"/>
    <n v="0.23611497394101355"/>
    <d v="2026-04-21T20:11:03"/>
  </r>
  <r>
    <s v="CUST017"/>
    <x v="6"/>
    <x v="4"/>
    <x v="1"/>
    <x v="177"/>
    <n v="8"/>
    <x v="3"/>
    <x v="129"/>
    <n v="460"/>
    <n v="7.5775510403725224E-2"/>
    <d v="2026-04-21T20:11:03"/>
  </r>
  <r>
    <s v="CUST004"/>
    <x v="5"/>
    <x v="1"/>
    <x v="0"/>
    <x v="178"/>
    <n v="6"/>
    <x v="1"/>
    <x v="130"/>
    <n v="439.88"/>
    <n v="-0.35389064190817415"/>
    <d v="2026-04-21T20:11:03"/>
  </r>
  <r>
    <s v="CUST028"/>
    <x v="23"/>
    <x v="3"/>
    <x v="0"/>
    <x v="179"/>
    <n v="8"/>
    <x v="3"/>
    <x v="131"/>
    <n v="255.79"/>
    <n v="-0.29744412542926307"/>
    <d v="2026-04-21T20:11:03"/>
  </r>
  <r>
    <s v="CUST028"/>
    <x v="20"/>
    <x v="3"/>
    <x v="0"/>
    <x v="180"/>
    <n v="15"/>
    <x v="0"/>
    <x v="132"/>
    <n v="159.74"/>
    <n v="1.1318762770944348"/>
    <d v="2026-04-21T20:11:03"/>
  </r>
  <r>
    <s v="CUST014"/>
    <x v="9"/>
    <x v="2"/>
    <x v="0"/>
    <x v="181"/>
    <n v="18"/>
    <x v="4"/>
    <x v="133"/>
    <n v="404.39"/>
    <n v="-0.58770520301825802"/>
    <d v="2026-04-21T20:11:03"/>
  </r>
  <r>
    <s v="CUST003"/>
    <x v="9"/>
    <x v="1"/>
    <x v="4"/>
    <x v="182"/>
    <n v="18"/>
    <x v="4"/>
    <x v="134"/>
    <n v="187.57"/>
    <n v="0.97141945482724046"/>
    <d v="2026-04-21T20:11:03"/>
  </r>
  <r>
    <s v="CUST029"/>
    <x v="18"/>
    <x v="0"/>
    <x v="1"/>
    <x v="183"/>
    <n v="2"/>
    <x v="4"/>
    <x v="135"/>
    <n v="410.87"/>
    <n v="0.13867372656015159"/>
    <d v="2026-04-21T20:11:03"/>
  </r>
  <r>
    <s v="CUST021"/>
    <x v="18"/>
    <x v="0"/>
    <x v="3"/>
    <x v="184"/>
    <n v="14"/>
    <x v="0"/>
    <x v="136"/>
    <n v="275.77999999999997"/>
    <n v="0.51634126283086113"/>
    <d v="2026-04-21T20:11:03"/>
  </r>
  <r>
    <s v="CUST007"/>
    <x v="18"/>
    <x v="0"/>
    <x v="1"/>
    <x v="185"/>
    <n v="18"/>
    <x v="1"/>
    <x v="137"/>
    <n v="746.74"/>
    <n v="-0.53837655424542519"/>
    <d v="2026-04-21T20:11:03"/>
  </r>
  <r>
    <s v="CUST009"/>
    <x v="17"/>
    <x v="2"/>
    <x v="1"/>
    <x v="186"/>
    <n v="9"/>
    <x v="3"/>
    <x v="138"/>
    <n v="310.24"/>
    <n v="-1.0428905037494657E-2"/>
    <d v="2026-04-21T20:11:03"/>
  </r>
  <r>
    <s v="CUST023"/>
    <x v="20"/>
    <x v="2"/>
    <x v="1"/>
    <x v="187"/>
    <n v="1"/>
    <x v="1"/>
    <x v="139"/>
    <n v="341.12"/>
    <n v="-0.32789047842401498"/>
    <d v="2026-04-21T20:11:03"/>
  </r>
  <r>
    <s v="CUST029"/>
    <x v="4"/>
    <x v="3"/>
    <x v="2"/>
    <x v="188"/>
    <n v="15"/>
    <x v="0"/>
    <x v="140"/>
    <n v="91.71"/>
    <n v="1.5826536398133206"/>
    <d v="2026-04-21T20:11:03"/>
  </r>
  <r>
    <s v="CUST009"/>
    <x v="4"/>
    <x v="2"/>
    <x v="3"/>
    <x v="189"/>
    <n v="11"/>
    <x v="0"/>
    <x v="141"/>
    <n v="331.59"/>
    <n v="-0.35643656322567024"/>
    <d v="2026-04-21T20:11:03"/>
  </r>
  <r>
    <s v="CUST007"/>
    <x v="0"/>
    <x v="2"/>
    <x v="1"/>
    <x v="190"/>
    <n v="9"/>
    <x v="1"/>
    <x v="142"/>
    <n v="381.07"/>
    <n v="-1.4997244600729459E-2"/>
    <d v="2026-04-21T20:11:03"/>
  </r>
  <r>
    <s v="CUST030"/>
    <x v="17"/>
    <x v="3"/>
    <x v="0"/>
    <x v="191"/>
    <n v="10"/>
    <x v="2"/>
    <x v="142"/>
    <n v="255.24"/>
    <n v="0.94074942387872806"/>
    <d v="2026-04-21T20:11:03"/>
  </r>
  <r>
    <s v="CUST018"/>
    <x v="26"/>
    <x v="4"/>
    <x v="1"/>
    <x v="192"/>
    <n v="14"/>
    <x v="4"/>
    <x v="143"/>
    <n v="692.05"/>
    <n v="-0.24953670020728372"/>
    <d v="2026-04-21T20:11:03"/>
  </r>
  <r>
    <s v="CUST008"/>
    <x v="21"/>
    <x v="1"/>
    <x v="3"/>
    <x v="193"/>
    <n v="17"/>
    <x v="3"/>
    <x v="143"/>
    <n v="344.41"/>
    <n v="-0.14552122775247409"/>
    <d v="2026-04-21T20:11:03"/>
  </r>
  <r>
    <s v="CUST014"/>
    <x v="11"/>
    <x v="0"/>
    <x v="1"/>
    <x v="194"/>
    <n v="8"/>
    <x v="2"/>
    <x v="144"/>
    <n v="397.06"/>
    <n v="0.56844381174606906"/>
    <d v="2026-04-21T20:11:03"/>
  </r>
  <r>
    <s v="CUST024"/>
    <x v="8"/>
    <x v="4"/>
    <x v="1"/>
    <x v="195"/>
    <n v="8"/>
    <x v="0"/>
    <x v="144"/>
    <n v="586.14"/>
    <n v="-0.49445524959907189"/>
    <d v="2026-04-21T20:11:03"/>
  </r>
  <r>
    <s v="CUST028"/>
    <x v="1"/>
    <x v="2"/>
    <x v="4"/>
    <x v="196"/>
    <n v="3"/>
    <x v="1"/>
    <x v="145"/>
    <n v="333.36"/>
    <n v="-0.26371490280777526"/>
    <d v="2026-04-21T20:11:03"/>
  </r>
  <r>
    <s v="CUST015"/>
    <x v="11"/>
    <x v="0"/>
    <x v="4"/>
    <x v="197"/>
    <n v="17"/>
    <x v="1"/>
    <x v="146"/>
    <n v="245.45"/>
    <n v="0.82900044001173345"/>
    <d v="2026-04-21T20:11:03"/>
  </r>
  <r>
    <s v="CUST010"/>
    <x v="8"/>
    <x v="1"/>
    <x v="0"/>
    <x v="198"/>
    <n v="8"/>
    <x v="4"/>
    <x v="146"/>
    <n v="379.09"/>
    <n v="-6.9455999839616644E-2"/>
    <d v="2026-04-21T20:11:03"/>
  </r>
  <r>
    <s v="CUST016"/>
    <x v="8"/>
    <x v="2"/>
    <x v="1"/>
    <x v="199"/>
    <n v="2"/>
    <x v="4"/>
    <x v="147"/>
    <n v="440.95"/>
    <n v="-1"/>
    <d v="2026-04-21T20:11:0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12E79CA-A2DE-4C6E-8B92-ACD694D5F44C}" name="PivotTable1"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A3:C30" firstHeaderRow="0" firstDataRow="1" firstDataCol="1"/>
  <pivotFields count="14">
    <pivotField showAll="0"/>
    <pivotField axis="axisRow" showAll="0">
      <items count="28">
        <item x="26"/>
        <item x="18"/>
        <item x="19"/>
        <item x="10"/>
        <item x="8"/>
        <item x="9"/>
        <item x="24"/>
        <item x="21"/>
        <item x="0"/>
        <item x="2"/>
        <item x="3"/>
        <item x="16"/>
        <item x="15"/>
        <item x="22"/>
        <item x="7"/>
        <item x="25"/>
        <item x="17"/>
        <item x="5"/>
        <item x="14"/>
        <item x="12"/>
        <item x="6"/>
        <item x="13"/>
        <item x="20"/>
        <item x="4"/>
        <item x="1"/>
        <item x="11"/>
        <item x="23"/>
        <item t="default"/>
      </items>
    </pivotField>
    <pivotField showAll="0"/>
    <pivotField showAll="0"/>
    <pivotField dataField="1" showAll="0"/>
    <pivotField showAll="0"/>
    <pivotField showAll="0"/>
    <pivotField numFmtId="164" showAll="0">
      <items count="1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t="default"/>
      </items>
    </pivotField>
    <pivotField dataField="1" showAll="0"/>
    <pivotField showAll="0"/>
    <pivotField numFmtId="22" showAll="0"/>
    <pivotField showAll="0" defaultSubtotal="0"/>
    <pivotField showAll="0" defaultSubtotal="0"/>
    <pivotField showAll="0" defaultSubtotal="0">
      <items count="4">
        <item x="0"/>
        <item x="1"/>
        <item x="2"/>
        <item x="3"/>
      </items>
    </pivotField>
  </pivotFields>
  <rowFields count="1">
    <field x="1"/>
  </rowFields>
  <rowItems count="27">
    <i>
      <x/>
    </i>
    <i>
      <x v="1"/>
    </i>
    <i>
      <x v="2"/>
    </i>
    <i>
      <x v="3"/>
    </i>
    <i>
      <x v="4"/>
    </i>
    <i>
      <x v="5"/>
    </i>
    <i>
      <x v="6"/>
    </i>
    <i>
      <x v="7"/>
    </i>
    <i>
      <x v="8"/>
    </i>
    <i>
      <x v="9"/>
    </i>
    <i>
      <x v="10"/>
    </i>
    <i>
      <x v="11"/>
    </i>
    <i>
      <x v="12"/>
    </i>
    <i>
      <x v="13"/>
    </i>
    <i>
      <x v="14"/>
    </i>
    <i>
      <x v="15"/>
    </i>
    <i>
      <x v="16"/>
    </i>
    <i>
      <x v="17"/>
    </i>
    <i>
      <x v="18"/>
    </i>
    <i>
      <x v="19"/>
    </i>
    <i>
      <x v="20"/>
    </i>
    <i>
      <x v="21"/>
    </i>
    <i>
      <x v="22"/>
    </i>
    <i>
      <x v="23"/>
    </i>
    <i>
      <x v="24"/>
    </i>
    <i>
      <x v="25"/>
    </i>
    <i>
      <x v="26"/>
    </i>
  </rowItems>
  <colFields count="1">
    <field x="-2"/>
  </colFields>
  <colItems count="2">
    <i>
      <x/>
    </i>
    <i i="1">
      <x v="1"/>
    </i>
  </colItems>
  <dataFields count="2">
    <dataField name="Sum of Sales" fld="4" baseField="0" baseItem="0"/>
    <dataField name="Sum of Profit" fld="8" baseField="0" baseItem="0"/>
  </dataFields>
  <formats count="5">
    <format dxfId="8">
      <pivotArea type="all" dataOnly="0" outline="0" fieldPosition="0"/>
    </format>
    <format dxfId="7">
      <pivotArea outline="0" collapsedLevelsAreSubtotals="1" fieldPosition="0"/>
    </format>
    <format dxfId="6">
      <pivotArea field="1" type="button" dataOnly="0" labelOnly="1" outline="0" axis="axisRow" fieldPosition="0"/>
    </format>
    <format dxfId="5">
      <pivotArea dataOnly="0" labelOnly="1" fieldPosition="0">
        <references count="1">
          <reference field="1" count="0"/>
        </references>
      </pivotArea>
    </format>
    <format dxfId="4">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E1BEB93-8D8A-45F4-86A4-B4F093333417}" name="PivotTable3" cacheId="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
  <location ref="B4:H11" firstHeaderRow="1" firstDataRow="2" firstDataCol="1"/>
  <pivotFields count="14">
    <pivotField compact="0" outline="0" showAll="0" insertBlankRow="1"/>
    <pivotField compact="0" outline="0" showAll="0" insertBlankRow="1"/>
    <pivotField axis="axisCol" compact="0" outline="0" showAll="0" insertBlankRow="1">
      <items count="6">
        <item x="4"/>
        <item x="1"/>
        <item x="3"/>
        <item x="2"/>
        <item x="0"/>
        <item t="default"/>
      </items>
    </pivotField>
    <pivotField axis="axisRow" compact="0" outline="0" showAll="0" insertBlankRow="1">
      <items count="6">
        <item x="0"/>
        <item x="1"/>
        <item x="2"/>
        <item x="3"/>
        <item x="4"/>
        <item t="default"/>
      </items>
    </pivotField>
    <pivotField dataField="1" compact="0" outline="0" showAll="0" insertBlankRow="1"/>
    <pivotField compact="0" outline="0" showAll="0" insertBlankRow="1"/>
    <pivotField compact="0" outline="0" showAll="0" insertBlankRow="1"/>
    <pivotField compact="0" numFmtId="164" outline="0" showAll="0" insertBlankRow="1">
      <items count="1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t="default"/>
      </items>
    </pivotField>
    <pivotField compact="0" outline="0" showAll="0" insertBlankRow="1"/>
    <pivotField compact="0" outline="0" showAll="0" insertBlankRow="1"/>
    <pivotField compact="0" numFmtId="22" outline="0" showAll="0" insertBlankRow="1"/>
    <pivotField compact="0" outline="0" showAll="0" insertBlankRow="1">
      <items count="15">
        <item x="0"/>
        <item x="1"/>
        <item x="2"/>
        <item x="3"/>
        <item x="4"/>
        <item x="5"/>
        <item x="6"/>
        <item x="7"/>
        <item x="8"/>
        <item x="9"/>
        <item x="10"/>
        <item x="11"/>
        <item x="12"/>
        <item x="13"/>
        <item t="default"/>
      </items>
    </pivotField>
    <pivotField compact="0" outline="0" showAll="0" insertBlankRow="1">
      <items count="7">
        <item x="0"/>
        <item x="1"/>
        <item x="2"/>
        <item x="3"/>
        <item x="4"/>
        <item x="5"/>
        <item t="default"/>
      </items>
    </pivotField>
    <pivotField compact="0" outline="0" showAll="0" insertBlankRow="1">
      <items count="5">
        <item x="0"/>
        <item x="1"/>
        <item x="2"/>
        <item x="3"/>
        <item t="default"/>
      </items>
    </pivotField>
  </pivotFields>
  <rowFields count="1">
    <field x="3"/>
  </rowFields>
  <rowItems count="6">
    <i>
      <x/>
    </i>
    <i>
      <x v="1"/>
    </i>
    <i>
      <x v="2"/>
    </i>
    <i>
      <x v="3"/>
    </i>
    <i>
      <x v="4"/>
    </i>
    <i t="grand">
      <x/>
    </i>
  </rowItems>
  <colFields count="1">
    <field x="2"/>
  </colFields>
  <colItems count="6">
    <i>
      <x/>
    </i>
    <i>
      <x v="1"/>
    </i>
    <i>
      <x v="2"/>
    </i>
    <i>
      <x v="3"/>
    </i>
    <i>
      <x v="4"/>
    </i>
    <i t="grand">
      <x/>
    </i>
  </colItems>
  <dataFields count="1">
    <dataField name="Sum of Sales" fld="4" baseField="0" baseItem="0"/>
  </dataFields>
  <chartFormats count="35">
    <chartFormat chart="0" format="0" series="1">
      <pivotArea type="data" outline="0" fieldPosition="0">
        <references count="1">
          <reference field="2" count="1" selected="0">
            <x v="0"/>
          </reference>
        </references>
      </pivotArea>
    </chartFormat>
    <chartFormat chart="0" format="1" series="1">
      <pivotArea type="data" outline="0" fieldPosition="0">
        <references count="1">
          <reference field="2" count="1" selected="0">
            <x v="1"/>
          </reference>
        </references>
      </pivotArea>
    </chartFormat>
    <chartFormat chart="0" format="2" series="1">
      <pivotArea type="data" outline="0" fieldPosition="0">
        <references count="1">
          <reference field="2" count="1" selected="0">
            <x v="2"/>
          </reference>
        </references>
      </pivotArea>
    </chartFormat>
    <chartFormat chart="0" format="3" series="1">
      <pivotArea type="data" outline="0" fieldPosition="0">
        <references count="1">
          <reference field="2" count="1" selected="0">
            <x v="3"/>
          </reference>
        </references>
      </pivotArea>
    </chartFormat>
    <chartFormat chart="0" format="4" series="1">
      <pivotArea type="data" outline="0" fieldPosition="0">
        <references count="1">
          <reference field="2" count="1" selected="0">
            <x v="4"/>
          </reference>
        </references>
      </pivotArea>
    </chartFormat>
    <chartFormat chart="0" format="5" series="1">
      <pivotArea type="data" outline="0" fieldPosition="0">
        <references count="1">
          <reference field="4294967294" count="1" selected="0">
            <x v="0"/>
          </reference>
        </references>
      </pivotArea>
    </chartFormat>
    <chartFormat chart="0" format="6" series="1">
      <pivotArea type="data" outline="0" fieldPosition="0">
        <references count="2">
          <reference field="4294967294" count="1" selected="0">
            <x v="0"/>
          </reference>
          <reference field="3" count="1" selected="0">
            <x v="1"/>
          </reference>
        </references>
      </pivotArea>
    </chartFormat>
    <chartFormat chart="0" format="7" series="1">
      <pivotArea type="data" outline="0" fieldPosition="0">
        <references count="2">
          <reference field="4294967294" count="1" selected="0">
            <x v="0"/>
          </reference>
          <reference field="3" count="1" selected="0">
            <x v="2"/>
          </reference>
        </references>
      </pivotArea>
    </chartFormat>
    <chartFormat chart="0" format="8" series="1">
      <pivotArea type="data" outline="0" fieldPosition="0">
        <references count="2">
          <reference field="4294967294" count="1" selected="0">
            <x v="0"/>
          </reference>
          <reference field="3" count="1" selected="0">
            <x v="3"/>
          </reference>
        </references>
      </pivotArea>
    </chartFormat>
    <chartFormat chart="0" format="9" series="1">
      <pivotArea type="data" outline="0" fieldPosition="0">
        <references count="2">
          <reference field="4294967294" count="1" selected="0">
            <x v="0"/>
          </reference>
          <reference field="3" count="1" selected="0">
            <x v="4"/>
          </reference>
        </references>
      </pivotArea>
    </chartFormat>
    <chartFormat chart="0" format="10" series="1">
      <pivotArea type="data" outline="0" fieldPosition="0">
        <references count="3">
          <reference field="4294967294" count="1" selected="0">
            <x v="0"/>
          </reference>
          <reference field="2" count="1" selected="0">
            <x v="0"/>
          </reference>
          <reference field="3" count="1" selected="0">
            <x v="1"/>
          </reference>
        </references>
      </pivotArea>
    </chartFormat>
    <chartFormat chart="0" format="11" series="1">
      <pivotArea type="data" outline="0" fieldPosition="0">
        <references count="3">
          <reference field="4294967294" count="1" selected="0">
            <x v="0"/>
          </reference>
          <reference field="2" count="1" selected="0">
            <x v="1"/>
          </reference>
          <reference field="3" count="1" selected="0">
            <x v="1"/>
          </reference>
        </references>
      </pivotArea>
    </chartFormat>
    <chartFormat chart="0" format="12" series="1">
      <pivotArea type="data" outline="0" fieldPosition="0">
        <references count="3">
          <reference field="4294967294" count="1" selected="0">
            <x v="0"/>
          </reference>
          <reference field="2" count="1" selected="0">
            <x v="2"/>
          </reference>
          <reference field="3" count="1" selected="0">
            <x v="1"/>
          </reference>
        </references>
      </pivotArea>
    </chartFormat>
    <chartFormat chart="0" format="13" series="1">
      <pivotArea type="data" outline="0" fieldPosition="0">
        <references count="3">
          <reference field="4294967294" count="1" selected="0">
            <x v="0"/>
          </reference>
          <reference field="2" count="1" selected="0">
            <x v="3"/>
          </reference>
          <reference field="3" count="1" selected="0">
            <x v="1"/>
          </reference>
        </references>
      </pivotArea>
    </chartFormat>
    <chartFormat chart="0" format="14" series="1">
      <pivotArea type="data" outline="0" fieldPosition="0">
        <references count="3">
          <reference field="4294967294" count="1" selected="0">
            <x v="0"/>
          </reference>
          <reference field="2" count="1" selected="0">
            <x v="4"/>
          </reference>
          <reference field="3" count="1" selected="0">
            <x v="1"/>
          </reference>
        </references>
      </pivotArea>
    </chartFormat>
    <chartFormat chart="0" format="15" series="1">
      <pivotArea type="data" outline="0" fieldPosition="0">
        <references count="3">
          <reference field="4294967294" count="1" selected="0">
            <x v="0"/>
          </reference>
          <reference field="2" count="1" selected="0">
            <x v="0"/>
          </reference>
          <reference field="3" count="1" selected="0">
            <x v="2"/>
          </reference>
        </references>
      </pivotArea>
    </chartFormat>
    <chartFormat chart="0" format="16" series="1">
      <pivotArea type="data" outline="0" fieldPosition="0">
        <references count="3">
          <reference field="4294967294" count="1" selected="0">
            <x v="0"/>
          </reference>
          <reference field="2" count="1" selected="0">
            <x v="1"/>
          </reference>
          <reference field="3" count="1" selected="0">
            <x v="2"/>
          </reference>
        </references>
      </pivotArea>
    </chartFormat>
    <chartFormat chart="0" format="17" series="1">
      <pivotArea type="data" outline="0" fieldPosition="0">
        <references count="3">
          <reference field="4294967294" count="1" selected="0">
            <x v="0"/>
          </reference>
          <reference field="2" count="1" selected="0">
            <x v="2"/>
          </reference>
          <reference field="3" count="1" selected="0">
            <x v="2"/>
          </reference>
        </references>
      </pivotArea>
    </chartFormat>
    <chartFormat chart="0" format="18" series="1">
      <pivotArea type="data" outline="0" fieldPosition="0">
        <references count="3">
          <reference field="4294967294" count="1" selected="0">
            <x v="0"/>
          </reference>
          <reference field="2" count="1" selected="0">
            <x v="3"/>
          </reference>
          <reference field="3" count="1" selected="0">
            <x v="2"/>
          </reference>
        </references>
      </pivotArea>
    </chartFormat>
    <chartFormat chart="0" format="19" series="1">
      <pivotArea type="data" outline="0" fieldPosition="0">
        <references count="3">
          <reference field="4294967294" count="1" selected="0">
            <x v="0"/>
          </reference>
          <reference field="2" count="1" selected="0">
            <x v="4"/>
          </reference>
          <reference field="3" count="1" selected="0">
            <x v="2"/>
          </reference>
        </references>
      </pivotArea>
    </chartFormat>
    <chartFormat chart="0" format="20" series="1">
      <pivotArea type="data" outline="0" fieldPosition="0">
        <references count="3">
          <reference field="4294967294" count="1" selected="0">
            <x v="0"/>
          </reference>
          <reference field="2" count="1" selected="0">
            <x v="0"/>
          </reference>
          <reference field="3" count="1" selected="0">
            <x v="3"/>
          </reference>
        </references>
      </pivotArea>
    </chartFormat>
    <chartFormat chart="0" format="21" series="1">
      <pivotArea type="data" outline="0" fieldPosition="0">
        <references count="3">
          <reference field="4294967294" count="1" selected="0">
            <x v="0"/>
          </reference>
          <reference field="2" count="1" selected="0">
            <x v="1"/>
          </reference>
          <reference field="3" count="1" selected="0">
            <x v="3"/>
          </reference>
        </references>
      </pivotArea>
    </chartFormat>
    <chartFormat chart="0" format="22" series="1">
      <pivotArea type="data" outline="0" fieldPosition="0">
        <references count="3">
          <reference field="4294967294" count="1" selected="0">
            <x v="0"/>
          </reference>
          <reference field="2" count="1" selected="0">
            <x v="2"/>
          </reference>
          <reference field="3" count="1" selected="0">
            <x v="3"/>
          </reference>
        </references>
      </pivotArea>
    </chartFormat>
    <chartFormat chart="0" format="23" series="1">
      <pivotArea type="data" outline="0" fieldPosition="0">
        <references count="3">
          <reference field="4294967294" count="1" selected="0">
            <x v="0"/>
          </reference>
          <reference field="2" count="1" selected="0">
            <x v="3"/>
          </reference>
          <reference field="3" count="1" selected="0">
            <x v="3"/>
          </reference>
        </references>
      </pivotArea>
    </chartFormat>
    <chartFormat chart="0" format="24" series="1">
      <pivotArea type="data" outline="0" fieldPosition="0">
        <references count="3">
          <reference field="4294967294" count="1" selected="0">
            <x v="0"/>
          </reference>
          <reference field="2" count="1" selected="0">
            <x v="4"/>
          </reference>
          <reference field="3" count="1" selected="0">
            <x v="3"/>
          </reference>
        </references>
      </pivotArea>
    </chartFormat>
    <chartFormat chart="0" format="25" series="1">
      <pivotArea type="data" outline="0" fieldPosition="0">
        <references count="3">
          <reference field="4294967294" count="1" selected="0">
            <x v="0"/>
          </reference>
          <reference field="2" count="1" selected="0">
            <x v="0"/>
          </reference>
          <reference field="3" count="1" selected="0">
            <x v="4"/>
          </reference>
        </references>
      </pivotArea>
    </chartFormat>
    <chartFormat chart="0" format="26" series="1">
      <pivotArea type="data" outline="0" fieldPosition="0">
        <references count="3">
          <reference field="4294967294" count="1" selected="0">
            <x v="0"/>
          </reference>
          <reference field="2" count="1" selected="0">
            <x v="1"/>
          </reference>
          <reference field="3" count="1" selected="0">
            <x v="4"/>
          </reference>
        </references>
      </pivotArea>
    </chartFormat>
    <chartFormat chart="0" format="27" series="1">
      <pivotArea type="data" outline="0" fieldPosition="0">
        <references count="3">
          <reference field="4294967294" count="1" selected="0">
            <x v="0"/>
          </reference>
          <reference field="2" count="1" selected="0">
            <x v="2"/>
          </reference>
          <reference field="3" count="1" selected="0">
            <x v="4"/>
          </reference>
        </references>
      </pivotArea>
    </chartFormat>
    <chartFormat chart="0" format="28" series="1">
      <pivotArea type="data" outline="0" fieldPosition="0">
        <references count="3">
          <reference field="4294967294" count="1" selected="0">
            <x v="0"/>
          </reference>
          <reference field="2" count="1" selected="0">
            <x v="3"/>
          </reference>
          <reference field="3" count="1" selected="0">
            <x v="4"/>
          </reference>
        </references>
      </pivotArea>
    </chartFormat>
    <chartFormat chart="0" format="29" series="1">
      <pivotArea type="data" outline="0" fieldPosition="0">
        <references count="3">
          <reference field="4294967294" count="1" selected="0">
            <x v="0"/>
          </reference>
          <reference field="2" count="1" selected="0">
            <x v="4"/>
          </reference>
          <reference field="3" count="1" selected="0">
            <x v="4"/>
          </reference>
        </references>
      </pivotArea>
    </chartFormat>
    <chartFormat chart="0" format="30" series="1">
      <pivotArea type="data" outline="0" fieldPosition="0">
        <references count="2">
          <reference field="4294967294" count="1" selected="0">
            <x v="0"/>
          </reference>
          <reference field="2" count="1" selected="0">
            <x v="0"/>
          </reference>
        </references>
      </pivotArea>
    </chartFormat>
    <chartFormat chart="0" format="31" series="1">
      <pivotArea type="data" outline="0" fieldPosition="0">
        <references count="2">
          <reference field="4294967294" count="1" selected="0">
            <x v="0"/>
          </reference>
          <reference field="2" count="1" selected="0">
            <x v="1"/>
          </reference>
        </references>
      </pivotArea>
    </chartFormat>
    <chartFormat chart="0" format="32" series="1">
      <pivotArea type="data" outline="0" fieldPosition="0">
        <references count="2">
          <reference field="4294967294" count="1" selected="0">
            <x v="0"/>
          </reference>
          <reference field="2" count="1" selected="0">
            <x v="2"/>
          </reference>
        </references>
      </pivotArea>
    </chartFormat>
    <chartFormat chart="0" format="33" series="1">
      <pivotArea type="data" outline="0" fieldPosition="0">
        <references count="2">
          <reference field="4294967294" count="1" selected="0">
            <x v="0"/>
          </reference>
          <reference field="2" count="1" selected="0">
            <x v="3"/>
          </reference>
        </references>
      </pivotArea>
    </chartFormat>
    <chartFormat chart="0" format="34" series="1">
      <pivotArea type="data" outline="0" fieldPosition="0">
        <references count="2">
          <reference field="4294967294" count="1" selected="0">
            <x v="0"/>
          </reference>
          <reference field="2" count="1" selected="0">
            <x v="4"/>
          </reference>
        </references>
      </pivotArea>
    </chartFormat>
  </chartFormats>
  <pivotTableStyleInfo name="PivotStyleLight19"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InsertBlankRowDefault="1"/>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103F71F-0A55-40B0-A41C-75D77F9659B9}" name="PivotTable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U5:V11" firstHeaderRow="1" firstDataRow="1" firstDataCol="1"/>
  <pivotFields count="14">
    <pivotField showAll="0"/>
    <pivotField showAll="0"/>
    <pivotField showAll="0"/>
    <pivotField axis="axisRow" showAll="0">
      <items count="6">
        <item x="0"/>
        <item x="1"/>
        <item x="2"/>
        <item x="3"/>
        <item x="4"/>
        <item t="default"/>
      </items>
    </pivotField>
    <pivotField dataField="1" showAll="0"/>
    <pivotField showAll="0"/>
    <pivotField showAll="0"/>
    <pivotField numFmtId="164" showAll="0">
      <items count="1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t="default"/>
      </items>
    </pivotField>
    <pivotField showAll="0"/>
    <pivotField showAll="0"/>
    <pivotField numFmtId="22" showAll="0"/>
    <pivotField showAll="0" defaultSubtotal="0"/>
    <pivotField showAll="0" defaultSubtotal="0"/>
    <pivotField showAll="0" defaultSubtotal="0">
      <items count="4">
        <item x="0"/>
        <item x="1"/>
        <item x="2"/>
        <item x="3"/>
      </items>
    </pivotField>
  </pivotFields>
  <rowFields count="1">
    <field x="3"/>
  </rowFields>
  <rowItems count="6">
    <i>
      <x/>
    </i>
    <i>
      <x v="1"/>
    </i>
    <i>
      <x v="2"/>
    </i>
    <i>
      <x v="3"/>
    </i>
    <i>
      <x v="4"/>
    </i>
    <i t="grand">
      <x/>
    </i>
  </rowItems>
  <colItems count="1">
    <i/>
  </colItems>
  <dataFields count="1">
    <dataField name="Sum of Sales" fld="4" baseField="0" baseItem="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3" count="1" selected="0">
            <x v="4"/>
          </reference>
        </references>
      </pivotArea>
    </chartFormat>
    <chartFormat chart="0" format="2">
      <pivotArea type="data" outline="0" fieldPosition="0">
        <references count="2">
          <reference field="4294967294" count="1" selected="0">
            <x v="0"/>
          </reference>
          <reference field="3" count="1" selected="0">
            <x v="0"/>
          </reference>
        </references>
      </pivotArea>
    </chartFormat>
    <chartFormat chart="0" format="3">
      <pivotArea type="data" outline="0" fieldPosition="0">
        <references count="2">
          <reference field="4294967294" count="1" selected="0">
            <x v="0"/>
          </reference>
          <reference field="3" count="1" selected="0">
            <x v="3"/>
          </reference>
        </references>
      </pivotArea>
    </chartFormat>
    <chartFormat chart="0" format="4">
      <pivotArea type="data" outline="0" fieldPosition="0">
        <references count="2">
          <reference field="4294967294" count="1" selected="0">
            <x v="0"/>
          </reference>
          <reference field="3" count="1" selected="0">
            <x v="1"/>
          </reference>
        </references>
      </pivotArea>
    </chartFormat>
    <chartFormat chart="0" format="5">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E452D07-CBA8-4995-8464-D4DE1C17BE4F}"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I3:J16" firstHeaderRow="1" firstDataRow="1" firstDataCol="1"/>
  <pivotFields count="14">
    <pivotField showAll="0"/>
    <pivotField showAll="0"/>
    <pivotField showAll="0"/>
    <pivotField showAll="0"/>
    <pivotField dataField="1" showAll="0"/>
    <pivotField showAll="0"/>
    <pivotField showAll="0"/>
    <pivotField numFmtId="164" showAll="0">
      <items count="1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t="default"/>
      </items>
    </pivotField>
    <pivotField showAll="0"/>
    <pivotField showAll="0"/>
    <pivotField numFmtId="22" showAll="0"/>
    <pivotField axis="axisRow" showAll="0" defaultSubtotal="0">
      <items count="14">
        <item x="0"/>
        <item x="1"/>
        <item x="2"/>
        <item x="3"/>
        <item x="4"/>
        <item x="5"/>
        <item x="6"/>
        <item x="7"/>
        <item x="8"/>
        <item x="9"/>
        <item x="10"/>
        <item x="11"/>
        <item x="12"/>
        <item x="13"/>
      </items>
    </pivotField>
    <pivotField showAll="0" defaultSubtotal="0"/>
    <pivotField showAll="0" defaultSubtotal="0">
      <items count="4">
        <item x="0"/>
        <item x="1"/>
        <item x="2"/>
        <item x="3"/>
      </items>
    </pivotField>
  </pivotFields>
  <rowFields count="1">
    <field x="11"/>
  </rowFields>
  <rowItems count="13">
    <i>
      <x v="1"/>
    </i>
    <i>
      <x v="2"/>
    </i>
    <i>
      <x v="3"/>
    </i>
    <i>
      <x v="4"/>
    </i>
    <i>
      <x v="5"/>
    </i>
    <i>
      <x v="6"/>
    </i>
    <i>
      <x v="7"/>
    </i>
    <i>
      <x v="8"/>
    </i>
    <i>
      <x v="9"/>
    </i>
    <i>
      <x v="10"/>
    </i>
    <i>
      <x v="11"/>
    </i>
    <i>
      <x v="12"/>
    </i>
    <i t="grand">
      <x/>
    </i>
  </rowItems>
  <colItems count="1">
    <i/>
  </colItems>
  <dataFields count="1">
    <dataField name="Sum of Sales" fld="4" baseField="0" baseItem="0"/>
  </dataField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1" count="1" selected="0">
            <x v="1"/>
          </reference>
        </references>
      </pivotArea>
    </chartFormat>
    <chartFormat chart="0" format="2">
      <pivotArea type="data" outline="0" fieldPosition="0">
        <references count="2">
          <reference field="4294967294" count="1" selected="0">
            <x v="0"/>
          </reference>
          <reference field="11" count="1" selected="0">
            <x v="2"/>
          </reference>
        </references>
      </pivotArea>
    </chartFormat>
    <chartFormat chart="0" format="3">
      <pivotArea type="data" outline="0" fieldPosition="0">
        <references count="2">
          <reference field="4294967294" count="1" selected="0">
            <x v="0"/>
          </reference>
          <reference field="11" count="1" selected="0">
            <x v="3"/>
          </reference>
        </references>
      </pivotArea>
    </chartFormat>
    <chartFormat chart="0" format="4">
      <pivotArea type="data" outline="0" fieldPosition="0">
        <references count="2">
          <reference field="4294967294" count="1" selected="0">
            <x v="0"/>
          </reference>
          <reference field="11" count="1" selected="0">
            <x v="4"/>
          </reference>
        </references>
      </pivotArea>
    </chartFormat>
    <chartFormat chart="0" format="5">
      <pivotArea type="data" outline="0" fieldPosition="0">
        <references count="2">
          <reference field="4294967294" count="1" selected="0">
            <x v="0"/>
          </reference>
          <reference field="11" count="1" selected="0">
            <x v="5"/>
          </reference>
        </references>
      </pivotArea>
    </chartFormat>
    <chartFormat chart="0" format="6">
      <pivotArea type="data" outline="0" fieldPosition="0">
        <references count="2">
          <reference field="4294967294" count="1" selected="0">
            <x v="0"/>
          </reference>
          <reference field="11" count="1" selected="0">
            <x v="6"/>
          </reference>
        </references>
      </pivotArea>
    </chartFormat>
    <chartFormat chart="0" format="7">
      <pivotArea type="data" outline="0" fieldPosition="0">
        <references count="2">
          <reference field="4294967294" count="1" selected="0">
            <x v="0"/>
          </reference>
          <reference field="11" count="1" selected="0">
            <x v="7"/>
          </reference>
        </references>
      </pivotArea>
    </chartFormat>
    <chartFormat chart="0" format="8">
      <pivotArea type="data" outline="0" fieldPosition="0">
        <references count="2">
          <reference field="4294967294" count="1" selected="0">
            <x v="0"/>
          </reference>
          <reference field="11" count="1" selected="0">
            <x v="8"/>
          </reference>
        </references>
      </pivotArea>
    </chartFormat>
    <chartFormat chart="0" format="9">
      <pivotArea type="data" outline="0" fieldPosition="0">
        <references count="2">
          <reference field="4294967294" count="1" selected="0">
            <x v="0"/>
          </reference>
          <reference field="11" count="1" selected="0">
            <x v="9"/>
          </reference>
        </references>
      </pivotArea>
    </chartFormat>
    <chartFormat chart="0" format="10">
      <pivotArea type="data" outline="0" fieldPosition="0">
        <references count="2">
          <reference field="4294967294" count="1" selected="0">
            <x v="0"/>
          </reference>
          <reference field="11" count="1" selected="0">
            <x v="10"/>
          </reference>
        </references>
      </pivotArea>
    </chartFormat>
    <chartFormat chart="0" format="11">
      <pivotArea type="data" outline="0" fieldPosition="0">
        <references count="2">
          <reference field="4294967294" count="1" selected="0">
            <x v="0"/>
          </reference>
          <reference field="11"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C6D6120-5600-453A-9981-DE33AAEC5D05}"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6:B12" firstHeaderRow="1" firstDataRow="1" firstDataCol="1"/>
  <pivotFields count="14">
    <pivotField showAll="0"/>
    <pivotField showAll="0"/>
    <pivotField axis="axisRow" showAll="0">
      <items count="6">
        <item x="4"/>
        <item x="1"/>
        <item x="3"/>
        <item x="2"/>
        <item x="0"/>
        <item t="default"/>
      </items>
    </pivotField>
    <pivotField showAll="0"/>
    <pivotField dataField="1" showAll="0"/>
    <pivotField showAll="0"/>
    <pivotField showAll="0"/>
    <pivotField numFmtId="164" showAll="0">
      <items count="1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t="default"/>
      </items>
    </pivotField>
    <pivotField showAll="0"/>
    <pivotField showAll="0"/>
    <pivotField numFmtId="22"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2"/>
  </rowFields>
  <rowItems count="6">
    <i>
      <x/>
    </i>
    <i>
      <x v="1"/>
    </i>
    <i>
      <x v="2"/>
    </i>
    <i>
      <x v="3"/>
    </i>
    <i>
      <x v="4"/>
    </i>
    <i t="grand">
      <x/>
    </i>
  </rowItems>
  <colItems count="1">
    <i/>
  </colItems>
  <dataFields count="1">
    <dataField name="Sum of Sales" fld="4"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557B759-38B2-41EB-86B6-40429C03CC56}" name="name"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L5:M33" firstHeaderRow="1" firstDataRow="1" firstDataCol="1"/>
  <pivotFields count="14">
    <pivotField showAll="0"/>
    <pivotField axis="axisRow" showAll="0">
      <items count="28">
        <item x="26"/>
        <item x="18"/>
        <item x="19"/>
        <item x="10"/>
        <item x="8"/>
        <item x="9"/>
        <item x="24"/>
        <item x="21"/>
        <item x="0"/>
        <item x="2"/>
        <item x="3"/>
        <item x="16"/>
        <item x="15"/>
        <item x="22"/>
        <item x="7"/>
        <item x="25"/>
        <item x="17"/>
        <item x="5"/>
        <item x="14"/>
        <item x="12"/>
        <item x="6"/>
        <item x="13"/>
        <item x="20"/>
        <item x="4"/>
        <item x="1"/>
        <item x="11"/>
        <item x="23"/>
        <item t="default"/>
      </items>
    </pivotField>
    <pivotField showAll="0">
      <items count="6">
        <item x="4"/>
        <item x="1"/>
        <item x="3"/>
        <item x="2"/>
        <item x="0"/>
        <item t="default"/>
      </items>
    </pivotField>
    <pivotField showAll="0">
      <items count="6">
        <item x="0"/>
        <item x="1"/>
        <item x="2"/>
        <item x="3"/>
        <item x="4"/>
        <item t="default"/>
      </items>
    </pivotField>
    <pivotField dataField="1" showAll="0"/>
    <pivotField showAll="0"/>
    <pivotField showAll="0"/>
    <pivotField numFmtId="164" showAll="0">
      <items count="1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t="default"/>
      </items>
    </pivotField>
    <pivotField showAll="0"/>
    <pivotField showAll="0"/>
    <pivotField numFmtId="22" showAll="0"/>
    <pivotField showAll="0" defaultSubtotal="0">
      <items count="14">
        <item x="0"/>
        <item x="1"/>
        <item x="2"/>
        <item x="3"/>
        <item x="4"/>
        <item x="5"/>
        <item x="6"/>
        <item x="7"/>
        <item x="8"/>
        <item x="9"/>
        <item x="10"/>
        <item x="11"/>
        <item x="12"/>
        <item x="13"/>
      </items>
    </pivotField>
    <pivotField showAll="0" defaultSubtotal="0"/>
    <pivotField showAll="0" defaultSubtotal="0">
      <items count="4">
        <item x="0"/>
        <item x="1"/>
        <item x="2"/>
        <item x="3"/>
      </items>
    </pivotField>
  </pivotFields>
  <rowFields count="1">
    <field x="1"/>
  </rowFields>
  <rowItems count="28">
    <i>
      <x/>
    </i>
    <i>
      <x v="1"/>
    </i>
    <i>
      <x v="2"/>
    </i>
    <i>
      <x v="3"/>
    </i>
    <i>
      <x v="4"/>
    </i>
    <i>
      <x v="5"/>
    </i>
    <i>
      <x v="6"/>
    </i>
    <i>
      <x v="7"/>
    </i>
    <i>
      <x v="8"/>
    </i>
    <i>
      <x v="9"/>
    </i>
    <i>
      <x v="10"/>
    </i>
    <i>
      <x v="11"/>
    </i>
    <i>
      <x v="12"/>
    </i>
    <i>
      <x v="13"/>
    </i>
    <i>
      <x v="14"/>
    </i>
    <i>
      <x v="15"/>
    </i>
    <i>
      <x v="16"/>
    </i>
    <i>
      <x v="17"/>
    </i>
    <i>
      <x v="18"/>
    </i>
    <i>
      <x v="19"/>
    </i>
    <i>
      <x v="20"/>
    </i>
    <i>
      <x v="21"/>
    </i>
    <i>
      <x v="22"/>
    </i>
    <i>
      <x v="23"/>
    </i>
    <i>
      <x v="24"/>
    </i>
    <i>
      <x v="25"/>
    </i>
    <i>
      <x v="26"/>
    </i>
    <i t="grand">
      <x/>
    </i>
  </rowItems>
  <colItems count="1">
    <i/>
  </colItems>
  <dataFields count="1">
    <dataField name="Sum of Sales" fld="4"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FEDF518-5578-4C86-9A44-A84775739BB5}" name="Month"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I5:J18" firstHeaderRow="1" firstDataRow="1" firstDataCol="1"/>
  <pivotFields count="14">
    <pivotField showAll="0"/>
    <pivotField showAll="0"/>
    <pivotField showAll="0">
      <items count="6">
        <item x="4"/>
        <item x="1"/>
        <item x="3"/>
        <item x="2"/>
        <item x="0"/>
        <item t="default"/>
      </items>
    </pivotField>
    <pivotField showAll="0">
      <items count="6">
        <item x="0"/>
        <item x="1"/>
        <item x="2"/>
        <item x="3"/>
        <item x="4"/>
        <item t="default"/>
      </items>
    </pivotField>
    <pivotField dataField="1" showAll="0"/>
    <pivotField showAll="0"/>
    <pivotField showAll="0"/>
    <pivotField numFmtId="164" showAll="0">
      <items count="1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t="default"/>
      </items>
    </pivotField>
    <pivotField showAll="0"/>
    <pivotField showAll="0"/>
    <pivotField numFmtId="22" showAll="0"/>
    <pivotField axis="axisRow" outline="0" showAll="0" includeNewItemsInFilter="1"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4">
        <item sd="0" x="0"/>
        <item sd="0" x="1"/>
        <item sd="0" x="2"/>
        <item sd="0" x="3"/>
      </items>
    </pivotField>
  </pivotFields>
  <rowFields count="1">
    <field x="11"/>
  </rowFields>
  <rowItems count="13">
    <i>
      <x v="1"/>
    </i>
    <i>
      <x v="2"/>
    </i>
    <i>
      <x v="3"/>
    </i>
    <i>
      <x v="4"/>
    </i>
    <i>
      <x v="5"/>
    </i>
    <i>
      <x v="6"/>
    </i>
    <i>
      <x v="7"/>
    </i>
    <i>
      <x v="8"/>
    </i>
    <i>
      <x v="9"/>
    </i>
    <i>
      <x v="10"/>
    </i>
    <i>
      <x v="11"/>
    </i>
    <i>
      <x v="12"/>
    </i>
    <i t="grand">
      <x/>
    </i>
  </rowItems>
  <colItems count="1">
    <i/>
  </colItems>
  <dataFields count="1">
    <dataField name="Sum of Sales" fld="4" baseField="0" baseItem="0"/>
  </dataFields>
  <chartFormats count="13">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11" count="1" selected="0">
            <x v="12"/>
          </reference>
        </references>
      </pivotArea>
    </chartFormat>
    <chartFormat chart="3" format="3">
      <pivotArea type="data" outline="0" fieldPosition="0">
        <references count="2">
          <reference field="4294967294" count="1" selected="0">
            <x v="0"/>
          </reference>
          <reference field="11" count="1" selected="0">
            <x v="1"/>
          </reference>
        </references>
      </pivotArea>
    </chartFormat>
    <chartFormat chart="3" format="4">
      <pivotArea type="data" outline="0" fieldPosition="0">
        <references count="2">
          <reference field="4294967294" count="1" selected="0">
            <x v="0"/>
          </reference>
          <reference field="11" count="1" selected="0">
            <x v="2"/>
          </reference>
        </references>
      </pivotArea>
    </chartFormat>
    <chartFormat chart="3" format="5">
      <pivotArea type="data" outline="0" fieldPosition="0">
        <references count="2">
          <reference field="4294967294" count="1" selected="0">
            <x v="0"/>
          </reference>
          <reference field="11" count="1" selected="0">
            <x v="3"/>
          </reference>
        </references>
      </pivotArea>
    </chartFormat>
    <chartFormat chart="3" format="6">
      <pivotArea type="data" outline="0" fieldPosition="0">
        <references count="2">
          <reference field="4294967294" count="1" selected="0">
            <x v="0"/>
          </reference>
          <reference field="11" count="1" selected="0">
            <x v="4"/>
          </reference>
        </references>
      </pivotArea>
    </chartFormat>
    <chartFormat chart="3" format="7">
      <pivotArea type="data" outline="0" fieldPosition="0">
        <references count="2">
          <reference field="4294967294" count="1" selected="0">
            <x v="0"/>
          </reference>
          <reference field="11" count="1" selected="0">
            <x v="5"/>
          </reference>
        </references>
      </pivotArea>
    </chartFormat>
    <chartFormat chart="3" format="8">
      <pivotArea type="data" outline="0" fieldPosition="0">
        <references count="2">
          <reference field="4294967294" count="1" selected="0">
            <x v="0"/>
          </reference>
          <reference field="11" count="1" selected="0">
            <x v="6"/>
          </reference>
        </references>
      </pivotArea>
    </chartFormat>
    <chartFormat chart="3" format="9">
      <pivotArea type="data" outline="0" fieldPosition="0">
        <references count="2">
          <reference field="4294967294" count="1" selected="0">
            <x v="0"/>
          </reference>
          <reference field="11" count="1" selected="0">
            <x v="9"/>
          </reference>
        </references>
      </pivotArea>
    </chartFormat>
    <chartFormat chart="3" format="10">
      <pivotArea type="data" outline="0" fieldPosition="0">
        <references count="2">
          <reference field="4294967294" count="1" selected="0">
            <x v="0"/>
          </reference>
          <reference field="11" count="1" selected="0">
            <x v="11"/>
          </reference>
        </references>
      </pivotArea>
    </chartFormat>
    <chartFormat chart="3" format="11">
      <pivotArea type="data" outline="0" fieldPosition="0">
        <references count="2">
          <reference field="4294967294" count="1" selected="0">
            <x v="0"/>
          </reference>
          <reference field="11" count="1" selected="0">
            <x v="8"/>
          </reference>
        </references>
      </pivotArea>
    </chartFormat>
    <chartFormat chart="3" format="12">
      <pivotArea type="data" outline="0" fieldPosition="0">
        <references count="2">
          <reference field="4294967294" count="1" selected="0">
            <x v="0"/>
          </reference>
          <reference field="11" count="1" selected="0">
            <x v="7"/>
          </reference>
        </references>
      </pivotArea>
    </chartFormat>
    <chartFormat chart="3" format="13">
      <pivotArea type="data" outline="0" fieldPosition="0">
        <references count="2">
          <reference field="4294967294" count="1" selected="0">
            <x v="0"/>
          </reference>
          <reference field="11" count="1" selected="0">
            <x v="1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74DCBCD-A211-4644-B1C1-DD026040ACE4}" name="Category"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F5:G11" firstHeaderRow="1" firstDataRow="1" firstDataCol="1"/>
  <pivotFields count="14">
    <pivotField showAll="0"/>
    <pivotField showAll="0"/>
    <pivotField showAll="0">
      <items count="6">
        <item x="4"/>
        <item x="1"/>
        <item x="3"/>
        <item x="2"/>
        <item x="0"/>
        <item t="default"/>
      </items>
    </pivotField>
    <pivotField axis="axisRow" showAll="0">
      <items count="6">
        <item x="0"/>
        <item x="1"/>
        <item x="2"/>
        <item x="3"/>
        <item x="4"/>
        <item t="default"/>
      </items>
    </pivotField>
    <pivotField dataField="1" showAll="0"/>
    <pivotField showAll="0"/>
    <pivotField showAll="0"/>
    <pivotField numFmtId="164" showAll="0">
      <items count="1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t="default"/>
      </items>
    </pivotField>
    <pivotField showAll="0"/>
    <pivotField showAll="0"/>
    <pivotField numFmtId="22" showAll="0"/>
    <pivotField showAll="0" defaultSubtotal="0">
      <items count="14">
        <item x="0"/>
        <item x="1"/>
        <item x="2"/>
        <item x="3"/>
        <item x="4"/>
        <item x="5"/>
        <item x="6"/>
        <item x="7"/>
        <item x="8"/>
        <item x="9"/>
        <item x="10"/>
        <item x="11"/>
        <item x="12"/>
        <item x="13"/>
      </items>
    </pivotField>
    <pivotField showAll="0" defaultSubtotal="0"/>
    <pivotField showAll="0" defaultSubtotal="0">
      <items count="4">
        <item x="0"/>
        <item x="1"/>
        <item x="2"/>
        <item x="3"/>
      </items>
    </pivotField>
  </pivotFields>
  <rowFields count="1">
    <field x="3"/>
  </rowFields>
  <rowItems count="6">
    <i>
      <x/>
    </i>
    <i>
      <x v="1"/>
    </i>
    <i>
      <x v="2"/>
    </i>
    <i>
      <x v="3"/>
    </i>
    <i>
      <x v="4"/>
    </i>
    <i t="grand">
      <x/>
    </i>
  </rowItems>
  <colItems count="1">
    <i/>
  </colItems>
  <dataFields count="1">
    <dataField name="Sum of Sales" fld="4" baseField="0" baseItem="0"/>
  </dataFields>
  <chartFormats count="6">
    <chartFormat chart="16" format="7" series="1">
      <pivotArea type="data" outline="0" fieldPosition="0">
        <references count="1">
          <reference field="4294967294" count="1" selected="0">
            <x v="0"/>
          </reference>
        </references>
      </pivotArea>
    </chartFormat>
    <chartFormat chart="16" format="8">
      <pivotArea type="data" outline="0" fieldPosition="0">
        <references count="2">
          <reference field="4294967294" count="1" selected="0">
            <x v="0"/>
          </reference>
          <reference field="3" count="1" selected="0">
            <x v="0"/>
          </reference>
        </references>
      </pivotArea>
    </chartFormat>
    <chartFormat chart="16" format="9">
      <pivotArea type="data" outline="0" fieldPosition="0">
        <references count="2">
          <reference field="4294967294" count="1" selected="0">
            <x v="0"/>
          </reference>
          <reference field="3" count="1" selected="0">
            <x v="1"/>
          </reference>
        </references>
      </pivotArea>
    </chartFormat>
    <chartFormat chart="16" format="10">
      <pivotArea type="data" outline="0" fieldPosition="0">
        <references count="2">
          <reference field="4294967294" count="1" selected="0">
            <x v="0"/>
          </reference>
          <reference field="3" count="1" selected="0">
            <x v="2"/>
          </reference>
        </references>
      </pivotArea>
    </chartFormat>
    <chartFormat chart="16" format="11">
      <pivotArea type="data" outline="0" fieldPosition="0">
        <references count="2">
          <reference field="4294967294" count="1" selected="0">
            <x v="0"/>
          </reference>
          <reference field="3" count="1" selected="0">
            <x v="3"/>
          </reference>
        </references>
      </pivotArea>
    </chartFormat>
    <chartFormat chart="16" format="12">
      <pivotArea type="data" outline="0" fieldPosition="0">
        <references count="2">
          <reference field="4294967294" count="1" selected="0">
            <x v="0"/>
          </reference>
          <reference field="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B6931C9-F51B-47F5-9B2A-B9AFE5BC04BC}" name="Region"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7">
  <location ref="C5:D11" firstHeaderRow="1" firstDataRow="1" firstDataCol="1"/>
  <pivotFields count="14">
    <pivotField showAll="0"/>
    <pivotField showAll="0">
      <items count="28">
        <item h="1" x="26"/>
        <item h="1" x="18"/>
        <item h="1" x="19"/>
        <item h="1" x="10"/>
        <item h="1" x="8"/>
        <item h="1" x="9"/>
        <item h="1" x="24"/>
        <item x="21"/>
        <item h="1" x="0"/>
        <item h="1" x="2"/>
        <item h="1" x="3"/>
        <item h="1" x="16"/>
        <item h="1" x="15"/>
        <item h="1" x="22"/>
        <item h="1" x="7"/>
        <item h="1" x="25"/>
        <item h="1" x="17"/>
        <item h="1" x="5"/>
        <item h="1" x="14"/>
        <item h="1" x="12"/>
        <item h="1" x="6"/>
        <item h="1" x="13"/>
        <item h="1" x="20"/>
        <item h="1" x="4"/>
        <item h="1" x="1"/>
        <item h="1" x="11"/>
        <item h="1" x="23"/>
        <item t="default"/>
      </items>
    </pivotField>
    <pivotField axis="axisRow" showAll="0">
      <items count="6">
        <item x="4"/>
        <item x="1"/>
        <item x="3"/>
        <item x="2"/>
        <item x="0"/>
        <item t="default"/>
      </items>
    </pivotField>
    <pivotField showAll="0">
      <items count="6">
        <item x="0"/>
        <item x="1"/>
        <item x="2"/>
        <item x="3"/>
        <item x="4"/>
        <item t="default"/>
      </items>
    </pivotField>
    <pivotField dataField="1" showAll="0"/>
    <pivotField showAll="0"/>
    <pivotField showAll="0"/>
    <pivotField numFmtId="164" showAll="0">
      <items count="1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t="default"/>
      </items>
    </pivotField>
    <pivotField showAll="0"/>
    <pivotField showAll="0"/>
    <pivotField numFmtId="22" showAll="0"/>
    <pivotField showAll="0" defaultSubtotal="0">
      <items count="14">
        <item x="0"/>
        <item x="1"/>
        <item x="2"/>
        <item x="3"/>
        <item x="4"/>
        <item x="5"/>
        <item x="6"/>
        <item x="7"/>
        <item x="8"/>
        <item x="9"/>
        <item x="10"/>
        <item x="11"/>
        <item x="12"/>
        <item x="13"/>
      </items>
    </pivotField>
    <pivotField showAll="0" defaultSubtotal="0"/>
    <pivotField showAll="0" defaultSubtotal="0">
      <items count="4">
        <item x="0"/>
        <item x="1"/>
        <item x="2"/>
        <item x="3"/>
      </items>
    </pivotField>
  </pivotFields>
  <rowFields count="1">
    <field x="2"/>
  </rowFields>
  <rowItems count="6">
    <i>
      <x/>
    </i>
    <i>
      <x v="1"/>
    </i>
    <i>
      <x v="2"/>
    </i>
    <i>
      <x v="3"/>
    </i>
    <i>
      <x v="4"/>
    </i>
    <i t="grand">
      <x/>
    </i>
  </rowItems>
  <colItems count="1">
    <i/>
  </colItems>
  <dataFields count="1">
    <dataField name="Sum of Sales" fld="4" baseField="0" baseItem="0"/>
  </dataFields>
  <chartFormats count="7">
    <chartFormat chart="10" format="2" series="1">
      <pivotArea type="data" outline="0" fieldPosition="0">
        <references count="1">
          <reference field="4294967294" count="1" selected="0">
            <x v="0"/>
          </reference>
        </references>
      </pivotArea>
    </chartFormat>
    <chartFormat chart="20" format="7" series="1">
      <pivotArea type="data" outline="0" fieldPosition="0">
        <references count="1">
          <reference field="4294967294" count="1" selected="0">
            <x v="0"/>
          </reference>
        </references>
      </pivotArea>
    </chartFormat>
    <chartFormat chart="20" format="8">
      <pivotArea type="data" outline="0" fieldPosition="0">
        <references count="2">
          <reference field="4294967294" count="1" selected="0">
            <x v="0"/>
          </reference>
          <reference field="2" count="1" selected="0">
            <x v="0"/>
          </reference>
        </references>
      </pivotArea>
    </chartFormat>
    <chartFormat chart="20" format="9">
      <pivotArea type="data" outline="0" fieldPosition="0">
        <references count="2">
          <reference field="4294967294" count="1" selected="0">
            <x v="0"/>
          </reference>
          <reference field="2" count="1" selected="0">
            <x v="1"/>
          </reference>
        </references>
      </pivotArea>
    </chartFormat>
    <chartFormat chart="20" format="10">
      <pivotArea type="data" outline="0" fieldPosition="0">
        <references count="2">
          <reference field="4294967294" count="1" selected="0">
            <x v="0"/>
          </reference>
          <reference field="2" count="1" selected="0">
            <x v="2"/>
          </reference>
        </references>
      </pivotArea>
    </chartFormat>
    <chartFormat chart="20" format="11">
      <pivotArea type="data" outline="0" fieldPosition="0">
        <references count="2">
          <reference field="4294967294" count="1" selected="0">
            <x v="0"/>
          </reference>
          <reference field="2" count="1" selected="0">
            <x v="3"/>
          </reference>
        </references>
      </pivotArea>
    </chartFormat>
    <chartFormat chart="20" format="12">
      <pivotArea type="data" outline="0" fieldPosition="0">
        <references count="2">
          <reference field="4294967294" count="1" selected="0">
            <x v="0"/>
          </reference>
          <reference field="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CC4DF70-34CD-4038-A097-D54CA3C7CB8A}" name="cat profit"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O5:P11" firstHeaderRow="1" firstDataRow="1" firstDataCol="1"/>
  <pivotFields count="14">
    <pivotField showAll="0"/>
    <pivotField showAll="0"/>
    <pivotField showAll="0">
      <items count="6">
        <item x="4"/>
        <item x="1"/>
        <item x="3"/>
        <item x="2"/>
        <item x="0"/>
        <item t="default"/>
      </items>
    </pivotField>
    <pivotField axis="axisRow" showAll="0">
      <items count="6">
        <item x="0"/>
        <item x="1"/>
        <item x="2"/>
        <item x="3"/>
        <item x="4"/>
        <item t="default"/>
      </items>
    </pivotField>
    <pivotField showAll="0"/>
    <pivotField showAll="0"/>
    <pivotField showAll="0"/>
    <pivotField numFmtId="164" showAll="0">
      <items count="1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t="default"/>
      </items>
    </pivotField>
    <pivotField dataField="1" showAll="0"/>
    <pivotField showAll="0"/>
    <pivotField numFmtId="22" showAll="0"/>
    <pivotField showAll="0" defaultSubtotal="0">
      <items count="14">
        <item x="0"/>
        <item x="1"/>
        <item x="2"/>
        <item x="3"/>
        <item x="4"/>
        <item x="5"/>
        <item x="6"/>
        <item x="7"/>
        <item x="8"/>
        <item x="9"/>
        <item x="10"/>
        <item x="11"/>
        <item x="12"/>
        <item x="13"/>
      </items>
    </pivotField>
    <pivotField showAll="0" defaultSubtotal="0"/>
    <pivotField showAll="0" defaultSubtotal="0">
      <items count="4">
        <item x="0"/>
        <item x="1"/>
        <item x="2"/>
        <item x="3"/>
      </items>
    </pivotField>
  </pivotFields>
  <rowFields count="1">
    <field x="3"/>
  </rowFields>
  <rowItems count="6">
    <i>
      <x/>
    </i>
    <i>
      <x v="1"/>
    </i>
    <i>
      <x v="2"/>
    </i>
    <i>
      <x v="3"/>
    </i>
    <i>
      <x v="4"/>
    </i>
    <i t="grand">
      <x/>
    </i>
  </rowItems>
  <colItems count="1">
    <i/>
  </colItems>
  <dataFields count="1">
    <dataField name="Sum of Profit" fld="8" baseField="0" baseItem="0"/>
  </dataFields>
  <chartFormats count="1">
    <chartFormat chart="4"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0F2BAE7-B200-477F-AE88-8A117E897824}" sourceName="Region">
  <pivotTables>
    <pivotTable tabId="15" name="cat profit"/>
    <pivotTable tabId="15" name="Category"/>
    <pivotTable tabId="15" name="Month"/>
    <pivotTable tabId="15" name="name"/>
    <pivotTable tabId="15" name="Region"/>
  </pivotTables>
  <data>
    <tabular pivotCacheId="949982705">
      <items count="5">
        <i x="4" s="1"/>
        <i x="1" s="1"/>
        <i x="3"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Order_Date" xr10:uid="{7A6EE294-CA69-4561-B1AE-B6D3A98B9791}" sourceName="Months (Order_Date)">
  <pivotTables>
    <pivotTable tabId="15" name="cat profit"/>
    <pivotTable tabId="15" name="Category"/>
    <pivotTable tabId="15" name="name"/>
    <pivotTable tabId="15" name="Region"/>
  </pivotTables>
  <data>
    <tabular pivotCacheId="949982705" showMissing="0">
      <items count="14">
        <i x="1" s="1"/>
        <i x="2" s="1"/>
        <i x="3" s="1"/>
        <i x="4" s="1"/>
        <i x="5" s="1"/>
        <i x="6" s="1"/>
        <i x="7" s="1"/>
        <i x="8" s="1"/>
        <i x="9" s="1"/>
        <i x="10" s="1"/>
        <i x="11" s="1"/>
        <i x="12" s="1"/>
        <i x="0" s="1" nd="1"/>
        <i x="13" s="1" nd="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C4C4E558-4AAE-4DCD-B1A4-249145497977}" sourceName="Product_Category">
  <pivotTables>
    <pivotTable tabId="15" name="Month"/>
    <pivotTable tabId="15" name="name"/>
    <pivotTable tabId="15" name="Region"/>
    <pivotTable tabId="15" name="Category"/>
    <pivotTable tabId="15" name="cat profit"/>
  </pivotTables>
  <data>
    <tabular pivotCacheId="949982705">
      <items count="5">
        <i x="0" s="1"/>
        <i x="1" s="1"/>
        <i x="2" s="1"/>
        <i x="3"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5AF27254-EF41-4D8E-A801-C2BFD06170C4}" cache="Slicer_Region" caption="Region" style="SlicerStyleOther1 2" rowHeight="234950"/>
  <slicer name="Months (Order_Date)" xr10:uid="{B9A8D39D-BEFD-4942-A773-F56EA906E12D}" cache="Slicer_Months__Order_Date" caption="Months (Order_Date)" columnCount="4" style="SlicerStyleOther1 2" rowHeight="234950"/>
  <slicer name="Product_Category" xr10:uid="{84C0DB0C-6261-4127-898E-CE2F063215DA}" cache="Slicer_Product_Category" caption="Product_Category" style="SlicerStyleOther1 2"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797CF73-0AF3-4173-8728-0DE0D125ACF9}" name="Table1" displayName="Table1" ref="A1:K201" totalsRowShown="0" headerRowDxfId="25" dataDxfId="24" tableBorderDxfId="23">
  <autoFilter ref="A1:K201" xr:uid="{6797CF73-0AF3-4173-8728-0DE0D125ACF9}"/>
  <sortState xmlns:xlrd2="http://schemas.microsoft.com/office/spreadsheetml/2017/richdata2" ref="A2:J201">
    <sortCondition ref="H1:H201"/>
  </sortState>
  <tableColumns count="11">
    <tableColumn id="1" xr3:uid="{36A13C1E-723C-4E41-B3DC-7CE8C45FE594}" name="Customer_ID" dataDxfId="22"/>
    <tableColumn id="2" xr3:uid="{712675F1-8E28-4802-AA17-A5F67E49AD6A}" name="Customer_Name" dataDxfId="21"/>
    <tableColumn id="3" xr3:uid="{0F240404-A6DE-4682-8FDF-1CBFDA50DA17}" name="Region" dataDxfId="20"/>
    <tableColumn id="4" xr3:uid="{A8B3BB3D-7EEF-4A82-93FD-17A585FA0B13}" name="Product_Category" dataDxfId="19"/>
    <tableColumn id="5" xr3:uid="{96F2E65C-B06E-455A-BEBC-E5C0AF1B97BD}" name="Sales" dataDxfId="18"/>
    <tableColumn id="6" xr3:uid="{17F7EE92-0F72-4AB5-9C90-0B33AE319AF6}" name="Quantity" dataDxfId="17"/>
    <tableColumn id="7" xr3:uid="{D6BA39E6-49D8-44EF-A4FC-21B259BB859A}" name="Discount" dataDxfId="16"/>
    <tableColumn id="8" xr3:uid="{0B2B59E9-8838-4CF5-A379-3D20E7281308}" name="Order_Date" dataDxfId="15"/>
    <tableColumn id="9" xr3:uid="{6BAEEF92-5993-473A-8B7E-E24AA06E8072}" name="Profit" dataDxfId="14"/>
    <tableColumn id="10" xr3:uid="{67377E4E-4655-4698-9430-8828CA478831}" name="Growth" dataDxfId="13">
      <calculatedColumnFormula>(E3 - E2) / E2</calculatedColumnFormula>
    </tableColumn>
    <tableColumn id="11" xr3:uid="{4102A53A-EE09-455B-9CBD-450A6B91C2F3}" name="Timestamp" dataDxfId="12">
      <calculatedColumnFormula>NOW()</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3" Type="http://schemas.openxmlformats.org/officeDocument/2006/relationships/pivotTable" Target="../pivotTables/pivotTable5.xml"/><Relationship Id="rId2" Type="http://schemas.openxmlformats.org/officeDocument/2006/relationships/pivotTable" Target="../pivotTables/pivotTable4.xml"/><Relationship Id="rId1" Type="http://schemas.openxmlformats.org/officeDocument/2006/relationships/pivotTable" Target="../pivotTables/pivotTable3.xml"/><Relationship Id="rId4" Type="http://schemas.openxmlformats.org/officeDocument/2006/relationships/drawing" Target="../drawings/drawing5.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 Id="rId5" Type="http://schemas.openxmlformats.org/officeDocument/2006/relationships/pivotTable" Target="../pivotTables/pivotTable10.xml"/><Relationship Id="rId4"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924"/>
  <sheetViews>
    <sheetView zoomScaleNormal="100" workbookViewId="0">
      <selection activeCell="C5" sqref="C5"/>
    </sheetView>
  </sheetViews>
  <sheetFormatPr defaultColWidth="14.44140625" defaultRowHeight="14.4" x14ac:dyDescent="0.3"/>
  <cols>
    <col min="1" max="1" width="10.109375" customWidth="1"/>
    <col min="2" max="2" width="91.109375" bestFit="1" customWidth="1"/>
    <col min="3" max="3" width="89.77734375" customWidth="1"/>
    <col min="4" max="26" width="8.6640625" customWidth="1"/>
  </cols>
  <sheetData>
    <row r="1" spans="1:26" x14ac:dyDescent="0.3">
      <c r="C1" s="1"/>
      <c r="D1" s="1"/>
      <c r="E1" s="1"/>
      <c r="F1" s="1"/>
      <c r="G1" s="1"/>
      <c r="H1" s="1"/>
      <c r="I1" s="1"/>
      <c r="J1" s="1"/>
      <c r="K1" s="1"/>
      <c r="L1" s="1"/>
      <c r="M1" s="1"/>
      <c r="N1" s="1"/>
      <c r="O1" s="1"/>
      <c r="P1" s="1"/>
      <c r="Q1" s="1"/>
      <c r="R1" s="1"/>
      <c r="S1" s="1"/>
      <c r="T1" s="1"/>
      <c r="U1" s="1"/>
      <c r="V1" s="1"/>
      <c r="W1" s="1"/>
      <c r="X1" s="1"/>
      <c r="Y1" s="1"/>
      <c r="Z1" s="1"/>
    </row>
    <row r="2" spans="1:26" x14ac:dyDescent="0.3">
      <c r="C2" s="1"/>
      <c r="D2" s="1"/>
      <c r="E2" s="1"/>
      <c r="F2" s="1"/>
      <c r="G2" s="1"/>
      <c r="H2" s="1"/>
      <c r="I2" s="1"/>
      <c r="J2" s="1"/>
      <c r="K2" s="1"/>
      <c r="L2" s="1"/>
      <c r="M2" s="1"/>
      <c r="N2" s="1"/>
      <c r="O2" s="1"/>
      <c r="P2" s="1"/>
      <c r="Q2" s="1"/>
      <c r="R2" s="1"/>
      <c r="S2" s="1"/>
      <c r="T2" s="1"/>
      <c r="U2" s="1"/>
      <c r="V2" s="1"/>
      <c r="W2" s="1"/>
      <c r="X2" s="1"/>
      <c r="Y2" s="1"/>
      <c r="Z2" s="1"/>
    </row>
    <row r="3" spans="1:26" x14ac:dyDescent="0.3">
      <c r="A3" s="1"/>
      <c r="B3" s="1"/>
      <c r="C3" s="1"/>
      <c r="D3" s="1"/>
      <c r="E3" s="1"/>
      <c r="F3" s="1"/>
      <c r="G3" s="1"/>
      <c r="H3" s="1"/>
      <c r="I3" s="1"/>
      <c r="J3" s="1"/>
      <c r="K3" s="1"/>
      <c r="L3" s="1"/>
      <c r="M3" s="1"/>
      <c r="N3" s="1"/>
      <c r="O3" s="1"/>
      <c r="P3" s="1"/>
      <c r="Q3" s="1"/>
      <c r="R3" s="1"/>
      <c r="S3" s="1"/>
      <c r="T3" s="1"/>
      <c r="U3" s="1"/>
      <c r="V3" s="1"/>
      <c r="W3" s="1"/>
      <c r="X3" s="1"/>
      <c r="Y3" s="1"/>
      <c r="Z3" s="1"/>
    </row>
    <row r="4" spans="1:26" ht="31.2" x14ac:dyDescent="0.6">
      <c r="A4" s="1"/>
      <c r="B4" s="28" t="s">
        <v>0</v>
      </c>
      <c r="C4" s="29"/>
      <c r="D4" s="1"/>
      <c r="E4" s="1"/>
      <c r="F4" s="1"/>
      <c r="G4" s="1"/>
      <c r="H4" s="1"/>
      <c r="I4" s="1"/>
      <c r="J4" s="1"/>
      <c r="K4" s="1"/>
      <c r="L4" s="1"/>
      <c r="M4" s="1"/>
      <c r="N4" s="1"/>
      <c r="O4" s="1"/>
      <c r="P4" s="1"/>
      <c r="Q4" s="1"/>
      <c r="R4" s="1"/>
      <c r="S4" s="1"/>
      <c r="T4" s="1"/>
      <c r="U4" s="1"/>
      <c r="V4" s="1"/>
      <c r="W4" s="1"/>
      <c r="X4" s="1"/>
      <c r="Y4" s="1"/>
      <c r="Z4" s="1"/>
    </row>
    <row r="5" spans="1:26" ht="269.39999999999998" customHeight="1" x14ac:dyDescent="0.3">
      <c r="A5" s="1"/>
      <c r="B5" s="27" t="s">
        <v>152</v>
      </c>
      <c r="C5" s="26" t="s">
        <v>160</v>
      </c>
      <c r="D5" s="1"/>
      <c r="E5" s="1"/>
      <c r="F5" s="1"/>
      <c r="G5" s="1"/>
      <c r="H5" s="1"/>
      <c r="I5" s="1"/>
      <c r="J5" s="1"/>
      <c r="K5" s="1"/>
      <c r="L5" s="1"/>
      <c r="M5" s="1"/>
      <c r="N5" s="1"/>
      <c r="O5" s="1"/>
      <c r="P5" s="1"/>
      <c r="Q5" s="1"/>
      <c r="R5" s="1"/>
      <c r="S5" s="1"/>
      <c r="T5" s="1"/>
      <c r="U5" s="1"/>
      <c r="V5" s="1"/>
      <c r="W5" s="1"/>
      <c r="X5" s="1"/>
      <c r="Y5" s="1"/>
      <c r="Z5" s="1"/>
    </row>
    <row r="6" spans="1:26" x14ac:dyDescent="0.3">
      <c r="A6" s="1"/>
      <c r="D6" s="1"/>
      <c r="E6" s="1"/>
      <c r="F6" s="1"/>
      <c r="G6" s="1"/>
      <c r="H6" s="1"/>
      <c r="I6" s="1"/>
      <c r="J6" s="1"/>
      <c r="K6" s="1"/>
      <c r="L6" s="1"/>
      <c r="M6" s="1"/>
      <c r="N6" s="1"/>
      <c r="O6" s="1"/>
      <c r="P6" s="1"/>
      <c r="Q6" s="1"/>
      <c r="R6" s="1"/>
      <c r="S6" s="1"/>
      <c r="T6" s="1"/>
      <c r="U6" s="1"/>
      <c r="V6" s="1"/>
      <c r="W6" s="1"/>
      <c r="X6" s="1"/>
      <c r="Y6" s="1"/>
      <c r="Z6" s="1"/>
    </row>
    <row r="7" spans="1:26" x14ac:dyDescent="0.3">
      <c r="A7" s="1"/>
      <c r="D7" s="1"/>
      <c r="E7" s="1"/>
      <c r="F7" s="1"/>
      <c r="G7" s="1"/>
      <c r="H7" s="1"/>
      <c r="I7" s="1"/>
      <c r="J7" s="1"/>
      <c r="K7" s="1"/>
      <c r="L7" s="1"/>
      <c r="M7" s="1"/>
      <c r="N7" s="1"/>
      <c r="O7" s="1"/>
      <c r="P7" s="1"/>
      <c r="Q7" s="1"/>
      <c r="R7" s="1"/>
      <c r="S7" s="1"/>
      <c r="T7" s="1"/>
      <c r="U7" s="1"/>
      <c r="V7" s="1"/>
      <c r="W7" s="1"/>
      <c r="X7" s="1"/>
      <c r="Y7" s="1"/>
      <c r="Z7" s="1"/>
    </row>
    <row r="8" spans="1:26" x14ac:dyDescent="0.3">
      <c r="A8" s="1"/>
      <c r="B8" s="1"/>
      <c r="C8" s="1"/>
      <c r="D8" s="1"/>
      <c r="E8" s="1"/>
      <c r="F8" s="1"/>
      <c r="G8" s="1"/>
      <c r="H8" s="1"/>
      <c r="I8" s="1"/>
      <c r="J8" s="1"/>
      <c r="K8" s="1"/>
      <c r="L8" s="1"/>
      <c r="M8" s="1"/>
      <c r="N8" s="1"/>
      <c r="O8" s="1"/>
      <c r="P8" s="1"/>
      <c r="Q8" s="1"/>
      <c r="R8" s="1"/>
      <c r="S8" s="1"/>
      <c r="T8" s="1"/>
      <c r="U8" s="1"/>
      <c r="V8" s="1"/>
      <c r="W8" s="1"/>
      <c r="X8" s="1"/>
      <c r="Y8" s="1"/>
      <c r="Z8" s="1"/>
    </row>
    <row r="9" spans="1:26" x14ac:dyDescent="0.3">
      <c r="A9" s="1"/>
      <c r="B9" s="1"/>
      <c r="C9" s="1"/>
      <c r="D9" s="1"/>
      <c r="E9" s="1"/>
      <c r="F9" s="1"/>
      <c r="G9" s="1"/>
      <c r="H9" s="1"/>
      <c r="I9" s="1"/>
      <c r="J9" s="1"/>
      <c r="K9" s="1"/>
      <c r="L9" s="1"/>
      <c r="M9" s="1"/>
      <c r="N9" s="1"/>
      <c r="O9" s="1"/>
      <c r="P9" s="1"/>
      <c r="Q9" s="1"/>
      <c r="R9" s="1"/>
      <c r="S9" s="1"/>
      <c r="T9" s="1"/>
      <c r="U9" s="1"/>
      <c r="V9" s="1"/>
      <c r="W9" s="1"/>
      <c r="X9" s="1"/>
      <c r="Y9" s="1"/>
      <c r="Z9" s="1"/>
    </row>
    <row r="10" spans="1:26" x14ac:dyDescent="0.3">
      <c r="A10" s="1"/>
      <c r="B10" s="1"/>
      <c r="C10" s="1"/>
      <c r="D10" s="1"/>
      <c r="E10" s="1"/>
      <c r="F10" s="1"/>
      <c r="G10" s="1"/>
      <c r="H10" s="1"/>
      <c r="I10" s="1"/>
      <c r="J10" s="1"/>
      <c r="K10" s="1"/>
      <c r="L10" s="1"/>
      <c r="M10" s="1"/>
      <c r="N10" s="1"/>
      <c r="O10" s="1"/>
      <c r="P10" s="1"/>
      <c r="Q10" s="1"/>
      <c r="R10" s="1"/>
      <c r="S10" s="1"/>
      <c r="T10" s="1"/>
      <c r="U10" s="1"/>
      <c r="V10" s="1"/>
      <c r="W10" s="1"/>
      <c r="X10" s="1"/>
      <c r="Y10" s="1"/>
      <c r="Z10" s="1"/>
    </row>
    <row r="11" spans="1:26" x14ac:dyDescent="0.3">
      <c r="A11" s="1"/>
      <c r="B11" s="1"/>
      <c r="C11" s="1"/>
      <c r="D11" s="1"/>
      <c r="E11" s="1"/>
      <c r="F11" s="1"/>
      <c r="G11" s="1"/>
      <c r="H11" s="1"/>
      <c r="I11" s="1"/>
      <c r="J11" s="1"/>
      <c r="K11" s="1"/>
      <c r="L11" s="1"/>
      <c r="M11" s="1"/>
      <c r="N11" s="1"/>
      <c r="O11" s="1"/>
      <c r="P11" s="1"/>
      <c r="Q11" s="1"/>
      <c r="R11" s="1"/>
      <c r="S11" s="1"/>
      <c r="T11" s="1"/>
      <c r="U11" s="1"/>
      <c r="V11" s="1"/>
      <c r="W11" s="1"/>
      <c r="X11" s="1"/>
      <c r="Y11" s="1"/>
      <c r="Z11" s="1"/>
    </row>
    <row r="12" spans="1:26" x14ac:dyDescent="0.3">
      <c r="A12" s="1"/>
      <c r="B12" s="1"/>
      <c r="C12" s="1"/>
      <c r="D12" s="1"/>
      <c r="E12" s="1"/>
      <c r="F12" s="1"/>
      <c r="G12" s="1"/>
      <c r="H12" s="1"/>
      <c r="I12" s="1"/>
      <c r="J12" s="1"/>
      <c r="K12" s="1"/>
      <c r="L12" s="1"/>
      <c r="M12" s="1"/>
      <c r="N12" s="1"/>
      <c r="O12" s="1"/>
      <c r="P12" s="1"/>
      <c r="Q12" s="1"/>
      <c r="R12" s="1"/>
      <c r="S12" s="1"/>
      <c r="T12" s="1"/>
      <c r="U12" s="1"/>
      <c r="V12" s="1"/>
      <c r="W12" s="1"/>
      <c r="X12" s="1"/>
      <c r="Y12" s="1"/>
      <c r="Z12" s="1"/>
    </row>
    <row r="13" spans="1:26" x14ac:dyDescent="0.3">
      <c r="A13" s="1"/>
      <c r="B13" s="1"/>
      <c r="C13" s="1"/>
      <c r="D13" s="1"/>
      <c r="E13" s="1"/>
      <c r="F13" s="1"/>
      <c r="G13" s="1"/>
      <c r="H13" s="1"/>
      <c r="I13" s="1"/>
      <c r="J13" s="1"/>
      <c r="K13" s="1"/>
      <c r="L13" s="1"/>
      <c r="M13" s="1"/>
      <c r="N13" s="1"/>
      <c r="O13" s="1"/>
      <c r="P13" s="1"/>
      <c r="Q13" s="1"/>
      <c r="R13" s="1"/>
      <c r="S13" s="1"/>
      <c r="T13" s="1"/>
      <c r="U13" s="1"/>
      <c r="V13" s="1"/>
      <c r="W13" s="1"/>
      <c r="X13" s="1"/>
      <c r="Y13" s="1"/>
      <c r="Z13" s="1"/>
    </row>
    <row r="14" spans="1:26" x14ac:dyDescent="0.3">
      <c r="A14" s="1"/>
      <c r="B14" s="1"/>
      <c r="C14" s="1"/>
      <c r="D14" s="1"/>
      <c r="E14" s="1"/>
      <c r="F14" s="1"/>
      <c r="G14" s="1"/>
      <c r="H14" s="1"/>
      <c r="I14" s="1"/>
      <c r="J14" s="1"/>
      <c r="K14" s="1"/>
      <c r="L14" s="1"/>
      <c r="M14" s="1"/>
      <c r="N14" s="1"/>
      <c r="O14" s="1"/>
      <c r="P14" s="1"/>
      <c r="Q14" s="1"/>
      <c r="R14" s="1"/>
      <c r="S14" s="1"/>
      <c r="T14" s="1"/>
      <c r="U14" s="1"/>
      <c r="V14" s="1"/>
      <c r="W14" s="1"/>
      <c r="X14" s="1"/>
      <c r="Y14" s="1"/>
      <c r="Z14" s="1"/>
    </row>
    <row r="15" spans="1:26" x14ac:dyDescent="0.3">
      <c r="A15" s="1"/>
      <c r="B15" s="1"/>
      <c r="C15" s="1"/>
      <c r="D15" s="1"/>
      <c r="E15" s="1"/>
      <c r="F15" s="1"/>
      <c r="G15" s="1"/>
      <c r="H15" s="1"/>
      <c r="I15" s="1"/>
      <c r="J15" s="1"/>
      <c r="K15" s="1"/>
      <c r="L15" s="1"/>
      <c r="M15" s="1"/>
      <c r="N15" s="1"/>
      <c r="O15" s="1"/>
      <c r="P15" s="1"/>
      <c r="Q15" s="1"/>
      <c r="R15" s="1"/>
      <c r="S15" s="1"/>
      <c r="T15" s="1"/>
      <c r="U15" s="1"/>
      <c r="V15" s="1"/>
      <c r="W15" s="1"/>
      <c r="X15" s="1"/>
      <c r="Y15" s="1"/>
      <c r="Z15" s="1"/>
    </row>
    <row r="16" spans="1:26" x14ac:dyDescent="0.3">
      <c r="A16" s="1"/>
      <c r="B16" s="1"/>
      <c r="C16" s="1"/>
      <c r="D16" s="1"/>
      <c r="E16" s="1"/>
      <c r="F16" s="1"/>
      <c r="G16" s="1"/>
      <c r="H16" s="1"/>
      <c r="I16" s="1"/>
      <c r="J16" s="1"/>
      <c r="K16" s="1"/>
      <c r="L16" s="1"/>
      <c r="M16" s="1"/>
      <c r="N16" s="1"/>
      <c r="O16" s="1"/>
      <c r="P16" s="1"/>
      <c r="Q16" s="1"/>
      <c r="R16" s="1"/>
      <c r="S16" s="1"/>
      <c r="T16" s="1"/>
      <c r="U16" s="1"/>
      <c r="V16" s="1"/>
      <c r="W16" s="1"/>
      <c r="X16" s="1"/>
      <c r="Y16" s="1"/>
      <c r="Z16" s="1"/>
    </row>
    <row r="17" spans="1:26" x14ac:dyDescent="0.3">
      <c r="A17" s="1"/>
      <c r="B17" s="1"/>
      <c r="C17" s="1"/>
      <c r="D17" s="1"/>
      <c r="E17" s="1"/>
      <c r="F17" s="1"/>
      <c r="G17" s="1"/>
      <c r="H17" s="1"/>
      <c r="I17" s="1"/>
      <c r="J17" s="1"/>
      <c r="K17" s="1"/>
      <c r="L17" s="1"/>
      <c r="M17" s="1"/>
      <c r="N17" s="1"/>
      <c r="O17" s="1"/>
      <c r="P17" s="1"/>
      <c r="Q17" s="1"/>
      <c r="R17" s="1"/>
      <c r="S17" s="1"/>
      <c r="T17" s="1"/>
      <c r="U17" s="1"/>
      <c r="V17" s="1"/>
      <c r="W17" s="1"/>
      <c r="X17" s="1"/>
      <c r="Y17" s="1"/>
      <c r="Z17" s="1"/>
    </row>
    <row r="18" spans="1:26" x14ac:dyDescent="0.3">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x14ac:dyDescent="0.3">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x14ac:dyDescent="0.3">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x14ac:dyDescent="0.3">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x14ac:dyDescent="0.3">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x14ac:dyDescent="0.3">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x14ac:dyDescent="0.3">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x14ac:dyDescent="0.3">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x14ac:dyDescent="0.3">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x14ac:dyDescent="0.3">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x14ac:dyDescent="0.3">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x14ac:dyDescent="0.3">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x14ac:dyDescent="0.3">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x14ac:dyDescent="0.3">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x14ac:dyDescent="0.3">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x14ac:dyDescent="0.3">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x14ac:dyDescent="0.3">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x14ac:dyDescent="0.3">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x14ac:dyDescent="0.3">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x14ac:dyDescent="0.3">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x14ac:dyDescent="0.3">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x14ac:dyDescent="0.3">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x14ac:dyDescent="0.3">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x14ac:dyDescent="0.3">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x14ac:dyDescent="0.3">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x14ac:dyDescent="0.3">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x14ac:dyDescent="0.3">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x14ac:dyDescent="0.3">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x14ac:dyDescent="0.3">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x14ac:dyDescent="0.3">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x14ac:dyDescent="0.3">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x14ac:dyDescent="0.3">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x14ac:dyDescent="0.3">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x14ac:dyDescent="0.3">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x14ac:dyDescent="0.3">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x14ac:dyDescent="0.3">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x14ac:dyDescent="0.3">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x14ac:dyDescent="0.3">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x14ac:dyDescent="0.3">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x14ac:dyDescent="0.3">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x14ac:dyDescent="0.3">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x14ac:dyDescent="0.3">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x14ac:dyDescent="0.3">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x14ac:dyDescent="0.3">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x14ac:dyDescent="0.3">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x14ac:dyDescent="0.3">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x14ac:dyDescent="0.3">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x14ac:dyDescent="0.3">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x14ac:dyDescent="0.3">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x14ac:dyDescent="0.3">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x14ac:dyDescent="0.3">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x14ac:dyDescent="0.3">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x14ac:dyDescent="0.3">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x14ac:dyDescent="0.3">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x14ac:dyDescent="0.3">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x14ac:dyDescent="0.3">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x14ac:dyDescent="0.3">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x14ac:dyDescent="0.3">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x14ac:dyDescent="0.3">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x14ac:dyDescent="0.3">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x14ac:dyDescent="0.3">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x14ac:dyDescent="0.3">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x14ac:dyDescent="0.3">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x14ac:dyDescent="0.3">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x14ac:dyDescent="0.3">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x14ac:dyDescent="0.3">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x14ac:dyDescent="0.3">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x14ac:dyDescent="0.3">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x14ac:dyDescent="0.3">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x14ac:dyDescent="0.3">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x14ac:dyDescent="0.3">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x14ac:dyDescent="0.3">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x14ac:dyDescent="0.3">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x14ac:dyDescent="0.3">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x14ac:dyDescent="0.3">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x14ac:dyDescent="0.3">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x14ac:dyDescent="0.3">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x14ac:dyDescent="0.3">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x14ac:dyDescent="0.3">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x14ac:dyDescent="0.3">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x14ac:dyDescent="0.3">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x14ac:dyDescent="0.3">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x14ac:dyDescent="0.3">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x14ac:dyDescent="0.3">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x14ac:dyDescent="0.3">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x14ac:dyDescent="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x14ac:dyDescent="0.3">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x14ac:dyDescent="0.3">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x14ac:dyDescent="0.3">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x14ac:dyDescent="0.3">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x14ac:dyDescent="0.3">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x14ac:dyDescent="0.3">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x14ac:dyDescent="0.3">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x14ac:dyDescent="0.3">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x14ac:dyDescent="0.3">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x14ac:dyDescent="0.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x14ac:dyDescent="0.3">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x14ac:dyDescent="0.3">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x14ac:dyDescent="0.3">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x14ac:dyDescent="0.3">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x14ac:dyDescent="0.3">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x14ac:dyDescent="0.3">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x14ac:dyDescent="0.3">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x14ac:dyDescent="0.3">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x14ac:dyDescent="0.3">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x14ac:dyDescent="0.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x14ac:dyDescent="0.3">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x14ac:dyDescent="0.3">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x14ac:dyDescent="0.3">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x14ac:dyDescent="0.3">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x14ac:dyDescent="0.3">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x14ac:dyDescent="0.3">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x14ac:dyDescent="0.3">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x14ac:dyDescent="0.3">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x14ac:dyDescent="0.3">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x14ac:dyDescent="0.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x14ac:dyDescent="0.3">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x14ac:dyDescent="0.3">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x14ac:dyDescent="0.3">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x14ac:dyDescent="0.3">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x14ac:dyDescent="0.3">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x14ac:dyDescent="0.3">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x14ac:dyDescent="0.3">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x14ac:dyDescent="0.3">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x14ac:dyDescent="0.3">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x14ac:dyDescent="0.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x14ac:dyDescent="0.3">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x14ac:dyDescent="0.3">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x14ac:dyDescent="0.3">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x14ac:dyDescent="0.3">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x14ac:dyDescent="0.3">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x14ac:dyDescent="0.3">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x14ac:dyDescent="0.3">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x14ac:dyDescent="0.3">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x14ac:dyDescent="0.3">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x14ac:dyDescent="0.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x14ac:dyDescent="0.3">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x14ac:dyDescent="0.3">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x14ac:dyDescent="0.3">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x14ac:dyDescent="0.3">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x14ac:dyDescent="0.3">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x14ac:dyDescent="0.3">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x14ac:dyDescent="0.3">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x14ac:dyDescent="0.3">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x14ac:dyDescent="0.3">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x14ac:dyDescent="0.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x14ac:dyDescent="0.3">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x14ac:dyDescent="0.3">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x14ac:dyDescent="0.3">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x14ac:dyDescent="0.3">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x14ac:dyDescent="0.3">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x14ac:dyDescent="0.3">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x14ac:dyDescent="0.3">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x14ac:dyDescent="0.3">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x14ac:dyDescent="0.3">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x14ac:dyDescent="0.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x14ac:dyDescent="0.3">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x14ac:dyDescent="0.3">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x14ac:dyDescent="0.3">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x14ac:dyDescent="0.3">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x14ac:dyDescent="0.3">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x14ac:dyDescent="0.3">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x14ac:dyDescent="0.3">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x14ac:dyDescent="0.3">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x14ac:dyDescent="0.3">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x14ac:dyDescent="0.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x14ac:dyDescent="0.3">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x14ac:dyDescent="0.3">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x14ac:dyDescent="0.3">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x14ac:dyDescent="0.3">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x14ac:dyDescent="0.3">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x14ac:dyDescent="0.3">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x14ac:dyDescent="0.3">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x14ac:dyDescent="0.3">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x14ac:dyDescent="0.3">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x14ac:dyDescent="0.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x14ac:dyDescent="0.3">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x14ac:dyDescent="0.3">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x14ac:dyDescent="0.3">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x14ac:dyDescent="0.3">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x14ac:dyDescent="0.3">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x14ac:dyDescent="0.3">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x14ac:dyDescent="0.3">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x14ac:dyDescent="0.3">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x14ac:dyDescent="0.3">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x14ac:dyDescent="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x14ac:dyDescent="0.3">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x14ac:dyDescent="0.3">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x14ac:dyDescent="0.3">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x14ac:dyDescent="0.3">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x14ac:dyDescent="0.3">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x14ac:dyDescent="0.3">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x14ac:dyDescent="0.3">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x14ac:dyDescent="0.3">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x14ac:dyDescent="0.3">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x14ac:dyDescent="0.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x14ac:dyDescent="0.3">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x14ac:dyDescent="0.3">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x14ac:dyDescent="0.3">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x14ac:dyDescent="0.3">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x14ac:dyDescent="0.3">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x14ac:dyDescent="0.3">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x14ac:dyDescent="0.3">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x14ac:dyDescent="0.3">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x14ac:dyDescent="0.3">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x14ac:dyDescent="0.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x14ac:dyDescent="0.3">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x14ac:dyDescent="0.3">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x14ac:dyDescent="0.3">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x14ac:dyDescent="0.3">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x14ac:dyDescent="0.3">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x14ac:dyDescent="0.3">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x14ac:dyDescent="0.3">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x14ac:dyDescent="0.3">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x14ac:dyDescent="0.3">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x14ac:dyDescent="0.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x14ac:dyDescent="0.3">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x14ac:dyDescent="0.3">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x14ac:dyDescent="0.3">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x14ac:dyDescent="0.3">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x14ac:dyDescent="0.3">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x14ac:dyDescent="0.3">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x14ac:dyDescent="0.3">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x14ac:dyDescent="0.3">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x14ac:dyDescent="0.3">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x14ac:dyDescent="0.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x14ac:dyDescent="0.3">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x14ac:dyDescent="0.3">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x14ac:dyDescent="0.3">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x14ac:dyDescent="0.3">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x14ac:dyDescent="0.3">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x14ac:dyDescent="0.3">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x14ac:dyDescent="0.3">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x14ac:dyDescent="0.3">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x14ac:dyDescent="0.3">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x14ac:dyDescent="0.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x14ac:dyDescent="0.3">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x14ac:dyDescent="0.3">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x14ac:dyDescent="0.3">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x14ac:dyDescent="0.3">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x14ac:dyDescent="0.3">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x14ac:dyDescent="0.3">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x14ac:dyDescent="0.3">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x14ac:dyDescent="0.3">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x14ac:dyDescent="0.3">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x14ac:dyDescent="0.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x14ac:dyDescent="0.3">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x14ac:dyDescent="0.3">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x14ac:dyDescent="0.3">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x14ac:dyDescent="0.3">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x14ac:dyDescent="0.3">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x14ac:dyDescent="0.3">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x14ac:dyDescent="0.3">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x14ac:dyDescent="0.3">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x14ac:dyDescent="0.3">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x14ac:dyDescent="0.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x14ac:dyDescent="0.3">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x14ac:dyDescent="0.3">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x14ac:dyDescent="0.3">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x14ac:dyDescent="0.3">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x14ac:dyDescent="0.3">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x14ac:dyDescent="0.3">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x14ac:dyDescent="0.3">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x14ac:dyDescent="0.3">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x14ac:dyDescent="0.3">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x14ac:dyDescent="0.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x14ac:dyDescent="0.3">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x14ac:dyDescent="0.3">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x14ac:dyDescent="0.3">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x14ac:dyDescent="0.3">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x14ac:dyDescent="0.3">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x14ac:dyDescent="0.3">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x14ac:dyDescent="0.3">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x14ac:dyDescent="0.3">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x14ac:dyDescent="0.3">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x14ac:dyDescent="0.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x14ac:dyDescent="0.3">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x14ac:dyDescent="0.3">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x14ac:dyDescent="0.3">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x14ac:dyDescent="0.3">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x14ac:dyDescent="0.3">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x14ac:dyDescent="0.3">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x14ac:dyDescent="0.3">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x14ac:dyDescent="0.3">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x14ac:dyDescent="0.3">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x14ac:dyDescent="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x14ac:dyDescent="0.3">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x14ac:dyDescent="0.3">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x14ac:dyDescent="0.3">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x14ac:dyDescent="0.3">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x14ac:dyDescent="0.3">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x14ac:dyDescent="0.3">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x14ac:dyDescent="0.3">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x14ac:dyDescent="0.3">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x14ac:dyDescent="0.3">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x14ac:dyDescent="0.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x14ac:dyDescent="0.3">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x14ac:dyDescent="0.3">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x14ac:dyDescent="0.3">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x14ac:dyDescent="0.3">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x14ac:dyDescent="0.3">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x14ac:dyDescent="0.3">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x14ac:dyDescent="0.3">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x14ac:dyDescent="0.3">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x14ac:dyDescent="0.3">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x14ac:dyDescent="0.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x14ac:dyDescent="0.3">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x14ac:dyDescent="0.3">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x14ac:dyDescent="0.3">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x14ac:dyDescent="0.3">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x14ac:dyDescent="0.3">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x14ac:dyDescent="0.3">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x14ac:dyDescent="0.3">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x14ac:dyDescent="0.3">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x14ac:dyDescent="0.3">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x14ac:dyDescent="0.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x14ac:dyDescent="0.3">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x14ac:dyDescent="0.3">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x14ac:dyDescent="0.3">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x14ac:dyDescent="0.3">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x14ac:dyDescent="0.3">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x14ac:dyDescent="0.3">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x14ac:dyDescent="0.3">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x14ac:dyDescent="0.3">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x14ac:dyDescent="0.3">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x14ac:dyDescent="0.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x14ac:dyDescent="0.3">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x14ac:dyDescent="0.3">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x14ac:dyDescent="0.3">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x14ac:dyDescent="0.3">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x14ac:dyDescent="0.3">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x14ac:dyDescent="0.3">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x14ac:dyDescent="0.3">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x14ac:dyDescent="0.3">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x14ac:dyDescent="0.3">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x14ac:dyDescent="0.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x14ac:dyDescent="0.3">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x14ac:dyDescent="0.3">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x14ac:dyDescent="0.3">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x14ac:dyDescent="0.3">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x14ac:dyDescent="0.3">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x14ac:dyDescent="0.3">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x14ac:dyDescent="0.3">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x14ac:dyDescent="0.3">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x14ac:dyDescent="0.3">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x14ac:dyDescent="0.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x14ac:dyDescent="0.3">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x14ac:dyDescent="0.3">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x14ac:dyDescent="0.3">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x14ac:dyDescent="0.3">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x14ac:dyDescent="0.3">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x14ac:dyDescent="0.3">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x14ac:dyDescent="0.3">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x14ac:dyDescent="0.3">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x14ac:dyDescent="0.3">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x14ac:dyDescent="0.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x14ac:dyDescent="0.3">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x14ac:dyDescent="0.3">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x14ac:dyDescent="0.3">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x14ac:dyDescent="0.3">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x14ac:dyDescent="0.3">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x14ac:dyDescent="0.3">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x14ac:dyDescent="0.3">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x14ac:dyDescent="0.3">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x14ac:dyDescent="0.3">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x14ac:dyDescent="0.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x14ac:dyDescent="0.3">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x14ac:dyDescent="0.3">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x14ac:dyDescent="0.3">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x14ac:dyDescent="0.3">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x14ac:dyDescent="0.3">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x14ac:dyDescent="0.3">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x14ac:dyDescent="0.3">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x14ac:dyDescent="0.3">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x14ac:dyDescent="0.3">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x14ac:dyDescent="0.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x14ac:dyDescent="0.3">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x14ac:dyDescent="0.3">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x14ac:dyDescent="0.3">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x14ac:dyDescent="0.3">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x14ac:dyDescent="0.3">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x14ac:dyDescent="0.3">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x14ac:dyDescent="0.3">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x14ac:dyDescent="0.3">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x14ac:dyDescent="0.3">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x14ac:dyDescent="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x14ac:dyDescent="0.3">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x14ac:dyDescent="0.3">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x14ac:dyDescent="0.3">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x14ac:dyDescent="0.3">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x14ac:dyDescent="0.3">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x14ac:dyDescent="0.3">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x14ac:dyDescent="0.3">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x14ac:dyDescent="0.3">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x14ac:dyDescent="0.3">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x14ac:dyDescent="0.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x14ac:dyDescent="0.3">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x14ac:dyDescent="0.3">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x14ac:dyDescent="0.3">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x14ac:dyDescent="0.3">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x14ac:dyDescent="0.3">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x14ac:dyDescent="0.3">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x14ac:dyDescent="0.3">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x14ac:dyDescent="0.3">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x14ac:dyDescent="0.3">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x14ac:dyDescent="0.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x14ac:dyDescent="0.3">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x14ac:dyDescent="0.3">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x14ac:dyDescent="0.3">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x14ac:dyDescent="0.3">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x14ac:dyDescent="0.3">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x14ac:dyDescent="0.3">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x14ac:dyDescent="0.3">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x14ac:dyDescent="0.3">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x14ac:dyDescent="0.3">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x14ac:dyDescent="0.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x14ac:dyDescent="0.3">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x14ac:dyDescent="0.3">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x14ac:dyDescent="0.3">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x14ac:dyDescent="0.3">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x14ac:dyDescent="0.3">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x14ac:dyDescent="0.3">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x14ac:dyDescent="0.3">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x14ac:dyDescent="0.3">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x14ac:dyDescent="0.3">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x14ac:dyDescent="0.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x14ac:dyDescent="0.3">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x14ac:dyDescent="0.3">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x14ac:dyDescent="0.3">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x14ac:dyDescent="0.3">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x14ac:dyDescent="0.3">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x14ac:dyDescent="0.3">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x14ac:dyDescent="0.3">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x14ac:dyDescent="0.3">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x14ac:dyDescent="0.3">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x14ac:dyDescent="0.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x14ac:dyDescent="0.3">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x14ac:dyDescent="0.3">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x14ac:dyDescent="0.3">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x14ac:dyDescent="0.3">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x14ac:dyDescent="0.3">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x14ac:dyDescent="0.3">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x14ac:dyDescent="0.3">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x14ac:dyDescent="0.3">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x14ac:dyDescent="0.3">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x14ac:dyDescent="0.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x14ac:dyDescent="0.3">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x14ac:dyDescent="0.3">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x14ac:dyDescent="0.3">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x14ac:dyDescent="0.3">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x14ac:dyDescent="0.3">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x14ac:dyDescent="0.3">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x14ac:dyDescent="0.3">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x14ac:dyDescent="0.3">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x14ac:dyDescent="0.3">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x14ac:dyDescent="0.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x14ac:dyDescent="0.3">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x14ac:dyDescent="0.3">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x14ac:dyDescent="0.3">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x14ac:dyDescent="0.3">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x14ac:dyDescent="0.3">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x14ac:dyDescent="0.3">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x14ac:dyDescent="0.3">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x14ac:dyDescent="0.3">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x14ac:dyDescent="0.3">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x14ac:dyDescent="0.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x14ac:dyDescent="0.3">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x14ac:dyDescent="0.3">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x14ac:dyDescent="0.3">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x14ac:dyDescent="0.3">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x14ac:dyDescent="0.3">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x14ac:dyDescent="0.3">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x14ac:dyDescent="0.3">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x14ac:dyDescent="0.3">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x14ac:dyDescent="0.3">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x14ac:dyDescent="0.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x14ac:dyDescent="0.3">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x14ac:dyDescent="0.3">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x14ac:dyDescent="0.3">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x14ac:dyDescent="0.3">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x14ac:dyDescent="0.3">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x14ac:dyDescent="0.3">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x14ac:dyDescent="0.3">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x14ac:dyDescent="0.3">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x14ac:dyDescent="0.3">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x14ac:dyDescent="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x14ac:dyDescent="0.3">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x14ac:dyDescent="0.3">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x14ac:dyDescent="0.3">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x14ac:dyDescent="0.3">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x14ac:dyDescent="0.3">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x14ac:dyDescent="0.3">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x14ac:dyDescent="0.3">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x14ac:dyDescent="0.3">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x14ac:dyDescent="0.3">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x14ac:dyDescent="0.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x14ac:dyDescent="0.3">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x14ac:dyDescent="0.3">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x14ac:dyDescent="0.3">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x14ac:dyDescent="0.3">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x14ac:dyDescent="0.3">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x14ac:dyDescent="0.3">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x14ac:dyDescent="0.3">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x14ac:dyDescent="0.3">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x14ac:dyDescent="0.3">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x14ac:dyDescent="0.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x14ac:dyDescent="0.3">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x14ac:dyDescent="0.3">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x14ac:dyDescent="0.3">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x14ac:dyDescent="0.3">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x14ac:dyDescent="0.3">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x14ac:dyDescent="0.3">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x14ac:dyDescent="0.3">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x14ac:dyDescent="0.3">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x14ac:dyDescent="0.3">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x14ac:dyDescent="0.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x14ac:dyDescent="0.3">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x14ac:dyDescent="0.3">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x14ac:dyDescent="0.3">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x14ac:dyDescent="0.3">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x14ac:dyDescent="0.3">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x14ac:dyDescent="0.3">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x14ac:dyDescent="0.3">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x14ac:dyDescent="0.3">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x14ac:dyDescent="0.3">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x14ac:dyDescent="0.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x14ac:dyDescent="0.3">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x14ac:dyDescent="0.3">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x14ac:dyDescent="0.3">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x14ac:dyDescent="0.3">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x14ac:dyDescent="0.3">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x14ac:dyDescent="0.3">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x14ac:dyDescent="0.3">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x14ac:dyDescent="0.3">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x14ac:dyDescent="0.3">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x14ac:dyDescent="0.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x14ac:dyDescent="0.3">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x14ac:dyDescent="0.3">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x14ac:dyDescent="0.3">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x14ac:dyDescent="0.3">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x14ac:dyDescent="0.3">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x14ac:dyDescent="0.3">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x14ac:dyDescent="0.3">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x14ac:dyDescent="0.3">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x14ac:dyDescent="0.3">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x14ac:dyDescent="0.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x14ac:dyDescent="0.3">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x14ac:dyDescent="0.3">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x14ac:dyDescent="0.3">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x14ac:dyDescent="0.3">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x14ac:dyDescent="0.3">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x14ac:dyDescent="0.3">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x14ac:dyDescent="0.3">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x14ac:dyDescent="0.3">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x14ac:dyDescent="0.3">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x14ac:dyDescent="0.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x14ac:dyDescent="0.3">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x14ac:dyDescent="0.3">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x14ac:dyDescent="0.3">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x14ac:dyDescent="0.3">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x14ac:dyDescent="0.3">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x14ac:dyDescent="0.3">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x14ac:dyDescent="0.3">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x14ac:dyDescent="0.3">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x14ac:dyDescent="0.3">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x14ac:dyDescent="0.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x14ac:dyDescent="0.3">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x14ac:dyDescent="0.3">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x14ac:dyDescent="0.3">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x14ac:dyDescent="0.3">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x14ac:dyDescent="0.3">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x14ac:dyDescent="0.3">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x14ac:dyDescent="0.3">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x14ac:dyDescent="0.3">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x14ac:dyDescent="0.3">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x14ac:dyDescent="0.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x14ac:dyDescent="0.3">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x14ac:dyDescent="0.3">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x14ac:dyDescent="0.3">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x14ac:dyDescent="0.3">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x14ac:dyDescent="0.3">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x14ac:dyDescent="0.3">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x14ac:dyDescent="0.3">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x14ac:dyDescent="0.3">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x14ac:dyDescent="0.3">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x14ac:dyDescent="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x14ac:dyDescent="0.3">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x14ac:dyDescent="0.3">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x14ac:dyDescent="0.3">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x14ac:dyDescent="0.3">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x14ac:dyDescent="0.3">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x14ac:dyDescent="0.3">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x14ac:dyDescent="0.3">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x14ac:dyDescent="0.3">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x14ac:dyDescent="0.3">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x14ac:dyDescent="0.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x14ac:dyDescent="0.3">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x14ac:dyDescent="0.3">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x14ac:dyDescent="0.3">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x14ac:dyDescent="0.3">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x14ac:dyDescent="0.3">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x14ac:dyDescent="0.3">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x14ac:dyDescent="0.3">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x14ac:dyDescent="0.3">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x14ac:dyDescent="0.3">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x14ac:dyDescent="0.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x14ac:dyDescent="0.3">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x14ac:dyDescent="0.3">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x14ac:dyDescent="0.3">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x14ac:dyDescent="0.3">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x14ac:dyDescent="0.3">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x14ac:dyDescent="0.3">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x14ac:dyDescent="0.3">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x14ac:dyDescent="0.3">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x14ac:dyDescent="0.3">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x14ac:dyDescent="0.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x14ac:dyDescent="0.3">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x14ac:dyDescent="0.3">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x14ac:dyDescent="0.3">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x14ac:dyDescent="0.3">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x14ac:dyDescent="0.3">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x14ac:dyDescent="0.3">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x14ac:dyDescent="0.3">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x14ac:dyDescent="0.3">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x14ac:dyDescent="0.3">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x14ac:dyDescent="0.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x14ac:dyDescent="0.3">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x14ac:dyDescent="0.3">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x14ac:dyDescent="0.3">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x14ac:dyDescent="0.3">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x14ac:dyDescent="0.3">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x14ac:dyDescent="0.3">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x14ac:dyDescent="0.3">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x14ac:dyDescent="0.3">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x14ac:dyDescent="0.3">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x14ac:dyDescent="0.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x14ac:dyDescent="0.3">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x14ac:dyDescent="0.3">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x14ac:dyDescent="0.3">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x14ac:dyDescent="0.3">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x14ac:dyDescent="0.3">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x14ac:dyDescent="0.3">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x14ac:dyDescent="0.3">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x14ac:dyDescent="0.3">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x14ac:dyDescent="0.3">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x14ac:dyDescent="0.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x14ac:dyDescent="0.3">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x14ac:dyDescent="0.3">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x14ac:dyDescent="0.3">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x14ac:dyDescent="0.3">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x14ac:dyDescent="0.3">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x14ac:dyDescent="0.3">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x14ac:dyDescent="0.3">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x14ac:dyDescent="0.3">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x14ac:dyDescent="0.3">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x14ac:dyDescent="0.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x14ac:dyDescent="0.3">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x14ac:dyDescent="0.3">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x14ac:dyDescent="0.3">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x14ac:dyDescent="0.3">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x14ac:dyDescent="0.3">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x14ac:dyDescent="0.3">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x14ac:dyDescent="0.3">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x14ac:dyDescent="0.3">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x14ac:dyDescent="0.3">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x14ac:dyDescent="0.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x14ac:dyDescent="0.3">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x14ac:dyDescent="0.3">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x14ac:dyDescent="0.3">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x14ac:dyDescent="0.3">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x14ac:dyDescent="0.3">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x14ac:dyDescent="0.3">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x14ac:dyDescent="0.3">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x14ac:dyDescent="0.3">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x14ac:dyDescent="0.3">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x14ac:dyDescent="0.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x14ac:dyDescent="0.3">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x14ac:dyDescent="0.3">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x14ac:dyDescent="0.3">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x14ac:dyDescent="0.3">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x14ac:dyDescent="0.3">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x14ac:dyDescent="0.3">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x14ac:dyDescent="0.3">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x14ac:dyDescent="0.3">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x14ac:dyDescent="0.3">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x14ac:dyDescent="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x14ac:dyDescent="0.3">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x14ac:dyDescent="0.3">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x14ac:dyDescent="0.3">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x14ac:dyDescent="0.3">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x14ac:dyDescent="0.3">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x14ac:dyDescent="0.3">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x14ac:dyDescent="0.3">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x14ac:dyDescent="0.3">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x14ac:dyDescent="0.3">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x14ac:dyDescent="0.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x14ac:dyDescent="0.3">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x14ac:dyDescent="0.3">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x14ac:dyDescent="0.3">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x14ac:dyDescent="0.3">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x14ac:dyDescent="0.3">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x14ac:dyDescent="0.3">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x14ac:dyDescent="0.3">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x14ac:dyDescent="0.3">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x14ac:dyDescent="0.3">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x14ac:dyDescent="0.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x14ac:dyDescent="0.3">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x14ac:dyDescent="0.3">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x14ac:dyDescent="0.3">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x14ac:dyDescent="0.3">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x14ac:dyDescent="0.3">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x14ac:dyDescent="0.3">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x14ac:dyDescent="0.3">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x14ac:dyDescent="0.3">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x14ac:dyDescent="0.3">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x14ac:dyDescent="0.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x14ac:dyDescent="0.3">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x14ac:dyDescent="0.3">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x14ac:dyDescent="0.3">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x14ac:dyDescent="0.3">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x14ac:dyDescent="0.3">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x14ac:dyDescent="0.3">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x14ac:dyDescent="0.3">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x14ac:dyDescent="0.3">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x14ac:dyDescent="0.3">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x14ac:dyDescent="0.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x14ac:dyDescent="0.3">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x14ac:dyDescent="0.3">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x14ac:dyDescent="0.3">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x14ac:dyDescent="0.3">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x14ac:dyDescent="0.3">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x14ac:dyDescent="0.3">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x14ac:dyDescent="0.3">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x14ac:dyDescent="0.3">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x14ac:dyDescent="0.3">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x14ac:dyDescent="0.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x14ac:dyDescent="0.3">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x14ac:dyDescent="0.3">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x14ac:dyDescent="0.3">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x14ac:dyDescent="0.3">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x14ac:dyDescent="0.3">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x14ac:dyDescent="0.3">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x14ac:dyDescent="0.3">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x14ac:dyDescent="0.3">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x14ac:dyDescent="0.3">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x14ac:dyDescent="0.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x14ac:dyDescent="0.3">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x14ac:dyDescent="0.3">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x14ac:dyDescent="0.3">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x14ac:dyDescent="0.3">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x14ac:dyDescent="0.3">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x14ac:dyDescent="0.3">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x14ac:dyDescent="0.3">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x14ac:dyDescent="0.3">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x14ac:dyDescent="0.3">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x14ac:dyDescent="0.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x14ac:dyDescent="0.3">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x14ac:dyDescent="0.3">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x14ac:dyDescent="0.3">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x14ac:dyDescent="0.3">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x14ac:dyDescent="0.3">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x14ac:dyDescent="0.3">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x14ac:dyDescent="0.3">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x14ac:dyDescent="0.3">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x14ac:dyDescent="0.3">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x14ac:dyDescent="0.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x14ac:dyDescent="0.3">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x14ac:dyDescent="0.3">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x14ac:dyDescent="0.3">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x14ac:dyDescent="0.3">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x14ac:dyDescent="0.3">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x14ac:dyDescent="0.3">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x14ac:dyDescent="0.3">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x14ac:dyDescent="0.3">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x14ac:dyDescent="0.3">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x14ac:dyDescent="0.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x14ac:dyDescent="0.3">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x14ac:dyDescent="0.3">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x14ac:dyDescent="0.3">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x14ac:dyDescent="0.3">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x14ac:dyDescent="0.3">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x14ac:dyDescent="0.3">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x14ac:dyDescent="0.3">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x14ac:dyDescent="0.3">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x14ac:dyDescent="0.3">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x14ac:dyDescent="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x14ac:dyDescent="0.3">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x14ac:dyDescent="0.3">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x14ac:dyDescent="0.3">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x14ac:dyDescent="0.3">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x14ac:dyDescent="0.3">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x14ac:dyDescent="0.3">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x14ac:dyDescent="0.3">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x14ac:dyDescent="0.3">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x14ac:dyDescent="0.3">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x14ac:dyDescent="0.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x14ac:dyDescent="0.3">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x14ac:dyDescent="0.3">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x14ac:dyDescent="0.3">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x14ac:dyDescent="0.3">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x14ac:dyDescent="0.3">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x14ac:dyDescent="0.3">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x14ac:dyDescent="0.3">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x14ac:dyDescent="0.3">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x14ac:dyDescent="0.3">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x14ac:dyDescent="0.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x14ac:dyDescent="0.3">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x14ac:dyDescent="0.3">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x14ac:dyDescent="0.3">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x14ac:dyDescent="0.3">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x14ac:dyDescent="0.3">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x14ac:dyDescent="0.3">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x14ac:dyDescent="0.3">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x14ac:dyDescent="0.3">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x14ac:dyDescent="0.3">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x14ac:dyDescent="0.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x14ac:dyDescent="0.3">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x14ac:dyDescent="0.3">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x14ac:dyDescent="0.3">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x14ac:dyDescent="0.3">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x14ac:dyDescent="0.3">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x14ac:dyDescent="0.3">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x14ac:dyDescent="0.3">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x14ac:dyDescent="0.3">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x14ac:dyDescent="0.3">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x14ac:dyDescent="0.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x14ac:dyDescent="0.3">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x14ac:dyDescent="0.3">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x14ac:dyDescent="0.3">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x14ac:dyDescent="0.3">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x14ac:dyDescent="0.3">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x14ac:dyDescent="0.3">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x14ac:dyDescent="0.3">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x14ac:dyDescent="0.3">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x14ac:dyDescent="0.3">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x14ac:dyDescent="0.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x14ac:dyDescent="0.3">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x14ac:dyDescent="0.3">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x14ac:dyDescent="0.3">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x14ac:dyDescent="0.3">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x14ac:dyDescent="0.3">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x14ac:dyDescent="0.3">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x14ac:dyDescent="0.3">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x14ac:dyDescent="0.3">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x14ac:dyDescent="0.3">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x14ac:dyDescent="0.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x14ac:dyDescent="0.3">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x14ac:dyDescent="0.3">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x14ac:dyDescent="0.3">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x14ac:dyDescent="0.3">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x14ac:dyDescent="0.3">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x14ac:dyDescent="0.3">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x14ac:dyDescent="0.3">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x14ac:dyDescent="0.3">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x14ac:dyDescent="0.3">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x14ac:dyDescent="0.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x14ac:dyDescent="0.3">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x14ac:dyDescent="0.3">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x14ac:dyDescent="0.3">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x14ac:dyDescent="0.3">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x14ac:dyDescent="0.3">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x14ac:dyDescent="0.3">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x14ac:dyDescent="0.3">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x14ac:dyDescent="0.3">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x14ac:dyDescent="0.3">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x14ac:dyDescent="0.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x14ac:dyDescent="0.3">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x14ac:dyDescent="0.3">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x14ac:dyDescent="0.3">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x14ac:dyDescent="0.3">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x14ac:dyDescent="0.3">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x14ac:dyDescent="0.3">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x14ac:dyDescent="0.3">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x14ac:dyDescent="0.3">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x14ac:dyDescent="0.3">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x14ac:dyDescent="0.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x14ac:dyDescent="0.3">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x14ac:dyDescent="0.3">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x14ac:dyDescent="0.3">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x14ac:dyDescent="0.3">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x14ac:dyDescent="0.3">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x14ac:dyDescent="0.3">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x14ac:dyDescent="0.3">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x14ac:dyDescent="0.3">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x14ac:dyDescent="0.3">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x14ac:dyDescent="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x14ac:dyDescent="0.3">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x14ac:dyDescent="0.3">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x14ac:dyDescent="0.3">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x14ac:dyDescent="0.3">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x14ac:dyDescent="0.3">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x14ac:dyDescent="0.3">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x14ac:dyDescent="0.3">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x14ac:dyDescent="0.3">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x14ac:dyDescent="0.3">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x14ac:dyDescent="0.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x14ac:dyDescent="0.3">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x14ac:dyDescent="0.3">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x14ac:dyDescent="0.3">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x14ac:dyDescent="0.3">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x14ac:dyDescent="0.3">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x14ac:dyDescent="0.3">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x14ac:dyDescent="0.3">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x14ac:dyDescent="0.3">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x14ac:dyDescent="0.3">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x14ac:dyDescent="0.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x14ac:dyDescent="0.3">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sheetData>
  <mergeCells count="1">
    <mergeCell ref="B4:C4"/>
  </mergeCells>
  <pageMargins left="0.75" right="0.75" top="1" bottom="1"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zoomScale="55" zoomScaleNormal="55" workbookViewId="0">
      <selection activeCell="E12" sqref="E12"/>
    </sheetView>
  </sheetViews>
  <sheetFormatPr defaultColWidth="14.44140625" defaultRowHeight="15" customHeight="1" x14ac:dyDescent="0.3"/>
  <cols>
    <col min="1" max="1" width="13.33203125" customWidth="1"/>
    <col min="2" max="2" width="16.5546875" customWidth="1"/>
    <col min="3" max="3" width="8.33203125" customWidth="1"/>
    <col min="4" max="4" width="17.44140625" customWidth="1"/>
    <col min="5" max="5" width="8" customWidth="1"/>
    <col min="6" max="7" width="9.77734375" customWidth="1"/>
    <col min="8" max="8" width="12.21875" customWidth="1"/>
    <col min="9" max="9" width="10.21875" customWidth="1"/>
    <col min="10" max="10" width="12.21875" customWidth="1"/>
    <col min="11" max="11" width="19.6640625" customWidth="1"/>
    <col min="12" max="12" width="3.21875" customWidth="1"/>
    <col min="13" max="13" width="2.77734375" customWidth="1"/>
    <col min="14" max="14" width="99.88671875" bestFit="1" customWidth="1"/>
    <col min="15" max="15" width="17.77734375" bestFit="1" customWidth="1"/>
    <col min="16" max="16" width="12.21875" bestFit="1" customWidth="1"/>
    <col min="17" max="17" width="18.33203125" bestFit="1" customWidth="1"/>
    <col min="18" max="18" width="8.6640625" customWidth="1"/>
    <col min="19" max="19" width="9.5546875" bestFit="1" customWidth="1"/>
    <col min="20" max="20" width="14.6640625" bestFit="1" customWidth="1"/>
    <col min="21" max="26" width="8.6640625" customWidth="1"/>
  </cols>
  <sheetData>
    <row r="1" spans="1:26" ht="14.4" x14ac:dyDescent="0.3">
      <c r="A1" s="16" t="s">
        <v>1</v>
      </c>
      <c r="B1" s="12" t="s">
        <v>2</v>
      </c>
      <c r="C1" s="12" t="s">
        <v>3</v>
      </c>
      <c r="D1" s="12" t="s">
        <v>4</v>
      </c>
      <c r="E1" s="12" t="s">
        <v>5</v>
      </c>
      <c r="F1" s="12" t="s">
        <v>6</v>
      </c>
      <c r="G1" s="12" t="s">
        <v>7</v>
      </c>
      <c r="H1" s="12" t="s">
        <v>8</v>
      </c>
      <c r="I1" s="12" t="s">
        <v>9</v>
      </c>
      <c r="J1" s="2" t="s">
        <v>127</v>
      </c>
      <c r="K1" s="20" t="s">
        <v>133</v>
      </c>
      <c r="L1" s="2"/>
      <c r="M1" s="2"/>
      <c r="N1" s="2"/>
      <c r="O1" s="2"/>
      <c r="P1" s="2"/>
      <c r="Q1" s="2"/>
      <c r="R1" s="2"/>
      <c r="S1" s="2"/>
      <c r="T1" s="2"/>
      <c r="U1" s="2"/>
      <c r="V1" s="2"/>
      <c r="W1" s="2"/>
      <c r="X1" s="2"/>
      <c r="Y1" s="2"/>
      <c r="Z1" s="2"/>
    </row>
    <row r="2" spans="1:26" ht="14.4" x14ac:dyDescent="0.3">
      <c r="A2" s="17" t="s">
        <v>10</v>
      </c>
      <c r="B2" s="13" t="s">
        <v>11</v>
      </c>
      <c r="C2" s="13" t="s">
        <v>12</v>
      </c>
      <c r="D2" s="13" t="s">
        <v>13</v>
      </c>
      <c r="E2" s="13">
        <v>1036.0899999999999</v>
      </c>
      <c r="F2" s="13">
        <v>4</v>
      </c>
      <c r="G2" s="13">
        <v>0.2</v>
      </c>
      <c r="H2" s="14">
        <v>45392</v>
      </c>
      <c r="I2" s="13">
        <v>331.55</v>
      </c>
      <c r="J2">
        <f t="shared" ref="J2:J33" si="0">(E3 - E2) / E2</f>
        <v>6.2919244467179544E-2</v>
      </c>
      <c r="K2" s="21">
        <f t="shared" ref="K2:K33" ca="1" si="1">NOW()</f>
        <v>46134.965780555554</v>
      </c>
    </row>
    <row r="3" spans="1:26" ht="14.4" x14ac:dyDescent="0.3">
      <c r="A3" s="17" t="s">
        <v>14</v>
      </c>
      <c r="B3" s="13" t="s">
        <v>15</v>
      </c>
      <c r="C3" s="13" t="s">
        <v>12</v>
      </c>
      <c r="D3" s="13" t="s">
        <v>16</v>
      </c>
      <c r="E3" s="13">
        <v>1101.28</v>
      </c>
      <c r="F3" s="13">
        <v>3</v>
      </c>
      <c r="G3" s="13">
        <v>0.2</v>
      </c>
      <c r="H3" s="14">
        <v>45393</v>
      </c>
      <c r="I3" s="13">
        <v>440.51</v>
      </c>
      <c r="J3">
        <f t="shared" si="0"/>
        <v>-0.35226282144413767</v>
      </c>
      <c r="K3" s="22">
        <f t="shared" ca="1" si="1"/>
        <v>46134.965780555554</v>
      </c>
      <c r="N3" s="2" t="s">
        <v>77</v>
      </c>
      <c r="O3" s="3" t="s">
        <v>78</v>
      </c>
      <c r="Q3" s="4"/>
    </row>
    <row r="4" spans="1:26" ht="14.4" x14ac:dyDescent="0.3">
      <c r="A4" s="17" t="s">
        <v>17</v>
      </c>
      <c r="B4" s="13" t="s">
        <v>18</v>
      </c>
      <c r="C4" s="13" t="s">
        <v>19</v>
      </c>
      <c r="D4" s="13" t="s">
        <v>13</v>
      </c>
      <c r="E4" s="13">
        <v>713.34</v>
      </c>
      <c r="F4" s="13">
        <v>17</v>
      </c>
      <c r="G4" s="13">
        <v>0</v>
      </c>
      <c r="H4" s="14">
        <v>45396</v>
      </c>
      <c r="I4" s="13">
        <v>285.33999999999997</v>
      </c>
      <c r="J4">
        <f t="shared" si="0"/>
        <v>6.6714329772618833E-2</v>
      </c>
      <c r="K4" s="22">
        <f t="shared" ca="1" si="1"/>
        <v>46134.965780555554</v>
      </c>
      <c r="N4" s="2" t="s">
        <v>79</v>
      </c>
      <c r="O4" s="38" t="s">
        <v>164</v>
      </c>
      <c r="P4">
        <f>I202</f>
        <v>68287.010000000009</v>
      </c>
    </row>
    <row r="5" spans="1:26" ht="14.4" x14ac:dyDescent="0.3">
      <c r="A5" s="17" t="s">
        <v>20</v>
      </c>
      <c r="B5" s="13" t="s">
        <v>15</v>
      </c>
      <c r="C5" s="13" t="s">
        <v>21</v>
      </c>
      <c r="D5" s="13" t="s">
        <v>22</v>
      </c>
      <c r="E5" s="13">
        <v>760.93</v>
      </c>
      <c r="F5" s="13">
        <v>4</v>
      </c>
      <c r="G5" s="13">
        <v>0.15</v>
      </c>
      <c r="H5" s="14">
        <v>45396</v>
      </c>
      <c r="I5" s="13">
        <v>161.69999999999999</v>
      </c>
      <c r="J5">
        <f t="shared" si="0"/>
        <v>0.1131115871367932</v>
      </c>
      <c r="K5" s="22">
        <f t="shared" ca="1" si="1"/>
        <v>46134.965780555554</v>
      </c>
      <c r="N5" s="2"/>
      <c r="O5" s="38" t="s">
        <v>7</v>
      </c>
      <c r="P5">
        <v>0.2</v>
      </c>
    </row>
    <row r="6" spans="1:26" ht="14.4" x14ac:dyDescent="0.3">
      <c r="A6" s="17" t="s">
        <v>23</v>
      </c>
      <c r="B6" s="13" t="s">
        <v>24</v>
      </c>
      <c r="C6" s="13" t="s">
        <v>25</v>
      </c>
      <c r="D6" s="13" t="s">
        <v>13</v>
      </c>
      <c r="E6" s="13">
        <v>847</v>
      </c>
      <c r="F6" s="13">
        <v>12</v>
      </c>
      <c r="G6" s="13">
        <v>0.2</v>
      </c>
      <c r="H6" s="14">
        <v>45397</v>
      </c>
      <c r="I6" s="13">
        <v>271.04000000000002</v>
      </c>
      <c r="J6">
        <f t="shared" si="0"/>
        <v>0.14007083825265643</v>
      </c>
      <c r="K6" s="22">
        <f t="shared" ca="1" si="1"/>
        <v>46134.965780555554</v>
      </c>
      <c r="N6" s="2"/>
      <c r="O6" s="38" t="s">
        <v>165</v>
      </c>
      <c r="P6">
        <f>P4*(1-P5)</f>
        <v>54629.608000000007</v>
      </c>
    </row>
    <row r="7" spans="1:26" ht="14.4" x14ac:dyDescent="0.3">
      <c r="A7" s="17" t="s">
        <v>26</v>
      </c>
      <c r="B7" s="13" t="s">
        <v>27</v>
      </c>
      <c r="C7" s="13" t="s">
        <v>25</v>
      </c>
      <c r="D7" s="13" t="s">
        <v>28</v>
      </c>
      <c r="E7" s="13">
        <v>965.64</v>
      </c>
      <c r="F7" s="13">
        <v>8</v>
      </c>
      <c r="G7" s="13">
        <v>0.1</v>
      </c>
      <c r="H7" s="14">
        <v>45398</v>
      </c>
      <c r="I7" s="13">
        <v>304.18</v>
      </c>
      <c r="J7">
        <f t="shared" si="0"/>
        <v>0.36441116772296095</v>
      </c>
      <c r="K7" s="22">
        <f t="shared" ca="1" si="1"/>
        <v>46134.965780555554</v>
      </c>
      <c r="N7" s="2"/>
    </row>
    <row r="8" spans="1:26" ht="14.4" x14ac:dyDescent="0.3">
      <c r="A8" s="17" t="s">
        <v>29</v>
      </c>
      <c r="B8" s="13" t="s">
        <v>30</v>
      </c>
      <c r="C8" s="13" t="s">
        <v>12</v>
      </c>
      <c r="D8" s="13" t="s">
        <v>22</v>
      </c>
      <c r="E8" s="13">
        <v>1317.53</v>
      </c>
      <c r="F8" s="13">
        <v>12</v>
      </c>
      <c r="G8" s="13">
        <v>0.05</v>
      </c>
      <c r="H8" s="14">
        <v>45398</v>
      </c>
      <c r="I8" s="13">
        <v>312.91000000000003</v>
      </c>
      <c r="J8">
        <f t="shared" si="0"/>
        <v>-0.18448156778213776</v>
      </c>
      <c r="K8" s="22">
        <f t="shared" ca="1" si="1"/>
        <v>46134.965780555554</v>
      </c>
      <c r="N8" s="2"/>
    </row>
    <row r="9" spans="1:26" ht="14.4" x14ac:dyDescent="0.3">
      <c r="A9" s="17" t="s">
        <v>31</v>
      </c>
      <c r="B9" s="13" t="s">
        <v>32</v>
      </c>
      <c r="C9" s="13" t="s">
        <v>19</v>
      </c>
      <c r="D9" s="13" t="s">
        <v>28</v>
      </c>
      <c r="E9" s="13">
        <v>1074.47</v>
      </c>
      <c r="F9" s="13">
        <v>6</v>
      </c>
      <c r="G9" s="13">
        <v>0.2</v>
      </c>
      <c r="H9" s="14">
        <v>45401</v>
      </c>
      <c r="I9" s="13">
        <v>300.85000000000002</v>
      </c>
      <c r="J9">
        <f t="shared" si="0"/>
        <v>-0.53322102990311504</v>
      </c>
      <c r="K9" s="22">
        <f t="shared" ca="1" si="1"/>
        <v>46134.965780555554</v>
      </c>
      <c r="N9" s="2"/>
    </row>
    <row r="10" spans="1:26" ht="14.4" x14ac:dyDescent="0.3">
      <c r="A10" s="17" t="s">
        <v>33</v>
      </c>
      <c r="B10" s="13" t="s">
        <v>34</v>
      </c>
      <c r="C10" s="13" t="s">
        <v>35</v>
      </c>
      <c r="D10" s="13" t="s">
        <v>13</v>
      </c>
      <c r="E10" s="13">
        <v>501.54</v>
      </c>
      <c r="F10" s="13">
        <v>11</v>
      </c>
      <c r="G10" s="13">
        <v>0.05</v>
      </c>
      <c r="H10" s="14">
        <v>45401</v>
      </c>
      <c r="I10" s="13">
        <v>190.59</v>
      </c>
      <c r="J10">
        <f t="shared" si="0"/>
        <v>0.47009211628185171</v>
      </c>
      <c r="K10" s="22">
        <f t="shared" ca="1" si="1"/>
        <v>46134.965780555554</v>
      </c>
      <c r="N10" s="2"/>
    </row>
    <row r="11" spans="1:26" ht="14.4" x14ac:dyDescent="0.3">
      <c r="A11" s="17" t="s">
        <v>36</v>
      </c>
      <c r="B11" s="13" t="s">
        <v>37</v>
      </c>
      <c r="C11" s="13" t="s">
        <v>35</v>
      </c>
      <c r="D11" s="13" t="s">
        <v>16</v>
      </c>
      <c r="E11" s="13">
        <v>737.31</v>
      </c>
      <c r="F11" s="13">
        <v>2</v>
      </c>
      <c r="G11" s="13">
        <v>0.05</v>
      </c>
      <c r="H11" s="14">
        <v>45401</v>
      </c>
      <c r="I11" s="13">
        <v>350.22</v>
      </c>
      <c r="J11">
        <f t="shared" si="0"/>
        <v>1.1331868549185553</v>
      </c>
      <c r="K11" s="22">
        <f t="shared" ca="1" si="1"/>
        <v>46134.965780555554</v>
      </c>
      <c r="N11" s="2"/>
    </row>
    <row r="12" spans="1:26" ht="14.4" x14ac:dyDescent="0.3">
      <c r="A12" s="17" t="s">
        <v>38</v>
      </c>
      <c r="B12" s="13" t="s">
        <v>39</v>
      </c>
      <c r="C12" s="13" t="s">
        <v>12</v>
      </c>
      <c r="D12" s="13" t="s">
        <v>40</v>
      </c>
      <c r="E12" s="13">
        <v>1572.82</v>
      </c>
      <c r="F12" s="13">
        <v>6</v>
      </c>
      <c r="G12" s="13">
        <v>0.05</v>
      </c>
      <c r="H12" s="14">
        <v>45402</v>
      </c>
      <c r="I12" s="13">
        <v>672.38</v>
      </c>
      <c r="J12">
        <f t="shared" si="0"/>
        <v>-0.14603705446268475</v>
      </c>
      <c r="K12" s="22">
        <f t="shared" ca="1" si="1"/>
        <v>46134.965780555554</v>
      </c>
      <c r="N12" s="2"/>
    </row>
    <row r="13" spans="1:26" ht="14.4" x14ac:dyDescent="0.3">
      <c r="A13" s="17" t="s">
        <v>38</v>
      </c>
      <c r="B13" s="13" t="s">
        <v>37</v>
      </c>
      <c r="C13" s="13" t="s">
        <v>35</v>
      </c>
      <c r="D13" s="13" t="s">
        <v>13</v>
      </c>
      <c r="E13" s="13">
        <v>1343.13</v>
      </c>
      <c r="F13" s="13">
        <v>14</v>
      </c>
      <c r="G13" s="13">
        <v>0.15</v>
      </c>
      <c r="H13" s="14">
        <v>45404</v>
      </c>
      <c r="I13" s="13">
        <v>456.66</v>
      </c>
      <c r="J13">
        <f t="shared" si="0"/>
        <v>-0.11283345618071235</v>
      </c>
      <c r="K13" s="22">
        <f t="shared" ca="1" si="1"/>
        <v>46134.965780555554</v>
      </c>
      <c r="N13" s="2" t="s">
        <v>80</v>
      </c>
      <c r="O13" s="10" t="s">
        <v>5</v>
      </c>
      <c r="P13" s="10" t="s">
        <v>9</v>
      </c>
      <c r="Q13" s="10" t="s">
        <v>112</v>
      </c>
    </row>
    <row r="14" spans="1:26" ht="14.4" x14ac:dyDescent="0.3">
      <c r="A14" s="17" t="s">
        <v>26</v>
      </c>
      <c r="B14" s="13" t="s">
        <v>27</v>
      </c>
      <c r="C14" s="13" t="s">
        <v>35</v>
      </c>
      <c r="D14" s="13" t="s">
        <v>13</v>
      </c>
      <c r="E14" s="13">
        <v>1191.58</v>
      </c>
      <c r="F14" s="13">
        <v>14</v>
      </c>
      <c r="G14" s="13">
        <v>0.05</v>
      </c>
      <c r="H14" s="14">
        <v>45406</v>
      </c>
      <c r="I14" s="13">
        <v>452.8</v>
      </c>
      <c r="J14">
        <f t="shared" si="0"/>
        <v>-0.30992463787576158</v>
      </c>
      <c r="K14" s="22">
        <f t="shared" ca="1" si="1"/>
        <v>46134.965780555554</v>
      </c>
      <c r="N14" s="2"/>
      <c r="O14" s="5">
        <v>388.56</v>
      </c>
      <c r="P14" s="5">
        <v>82.57</v>
      </c>
      <c r="Q14" s="11">
        <f t="shared" ref="Q14:Q24" si="2">$T$15+$T$14*O14</f>
        <v>117.73750785709888</v>
      </c>
      <c r="S14" s="10" t="s">
        <v>113</v>
      </c>
      <c r="T14" s="5">
        <f>SLOPE(P14:P17,O14:O17)</f>
        <v>0.27710297057039118</v>
      </c>
    </row>
    <row r="15" spans="1:26" ht="14.4" x14ac:dyDescent="0.3">
      <c r="A15" s="17" t="s">
        <v>41</v>
      </c>
      <c r="B15" s="13" t="s">
        <v>15</v>
      </c>
      <c r="C15" s="13" t="s">
        <v>12</v>
      </c>
      <c r="D15" s="13" t="s">
        <v>28</v>
      </c>
      <c r="E15" s="13">
        <v>822.28</v>
      </c>
      <c r="F15" s="13">
        <v>7</v>
      </c>
      <c r="G15" s="13">
        <v>0.05</v>
      </c>
      <c r="H15" s="14">
        <v>45406</v>
      </c>
      <c r="I15" s="13">
        <v>273.41000000000003</v>
      </c>
      <c r="J15">
        <f t="shared" si="0"/>
        <v>-0.36558106727635359</v>
      </c>
      <c r="K15" s="22">
        <f t="shared" ca="1" si="1"/>
        <v>46134.965780555554</v>
      </c>
      <c r="N15" s="2"/>
      <c r="O15" s="5">
        <v>521.66999999999996</v>
      </c>
      <c r="P15" s="5">
        <v>155.19999999999999</v>
      </c>
      <c r="Q15" s="11">
        <f t="shared" si="2"/>
        <v>154.62268426972363</v>
      </c>
      <c r="S15" s="10" t="s">
        <v>92</v>
      </c>
      <c r="T15" s="5">
        <f>INTERCEPT(P14:P17,O14:O17)</f>
        <v>10.066377612267672</v>
      </c>
    </row>
    <row r="16" spans="1:26" ht="14.4" x14ac:dyDescent="0.3">
      <c r="A16" s="17" t="s">
        <v>42</v>
      </c>
      <c r="B16" s="13" t="s">
        <v>43</v>
      </c>
      <c r="C16" s="13" t="s">
        <v>25</v>
      </c>
      <c r="D16" s="13" t="s">
        <v>28</v>
      </c>
      <c r="E16" s="13">
        <v>521.66999999999996</v>
      </c>
      <c r="F16" s="13">
        <v>15</v>
      </c>
      <c r="G16" s="13">
        <v>0.15</v>
      </c>
      <c r="H16" s="14">
        <v>45409</v>
      </c>
      <c r="I16" s="13">
        <v>155.19999999999999</v>
      </c>
      <c r="J16">
        <f t="shared" si="0"/>
        <v>1.8809975655107638</v>
      </c>
      <c r="K16" s="22">
        <f t="shared" ca="1" si="1"/>
        <v>46134.965780555554</v>
      </c>
      <c r="N16" s="2"/>
      <c r="O16" s="5">
        <v>501.54</v>
      </c>
      <c r="P16" s="5">
        <v>190.59</v>
      </c>
      <c r="Q16" s="11">
        <f t="shared" si="2"/>
        <v>149.04460147214166</v>
      </c>
    </row>
    <row r="17" spans="1:17" ht="14.4" x14ac:dyDescent="0.3">
      <c r="A17" s="17" t="s">
        <v>20</v>
      </c>
      <c r="B17" s="13" t="s">
        <v>44</v>
      </c>
      <c r="C17" s="13" t="s">
        <v>21</v>
      </c>
      <c r="D17" s="13" t="s">
        <v>22</v>
      </c>
      <c r="E17" s="13">
        <v>1502.93</v>
      </c>
      <c r="F17" s="13">
        <v>14</v>
      </c>
      <c r="G17" s="13">
        <v>0.2</v>
      </c>
      <c r="H17" s="14">
        <v>45410</v>
      </c>
      <c r="I17" s="13">
        <v>300.58999999999997</v>
      </c>
      <c r="J17">
        <f t="shared" si="0"/>
        <v>-0.41608724291883187</v>
      </c>
      <c r="K17" s="22">
        <f t="shared" ca="1" si="1"/>
        <v>46134.965780555554</v>
      </c>
      <c r="N17" s="2"/>
      <c r="O17" s="5">
        <v>1074.47</v>
      </c>
      <c r="P17" s="5">
        <v>300.85000000000002</v>
      </c>
      <c r="Q17" s="11">
        <f t="shared" si="2"/>
        <v>307.80520640103589</v>
      </c>
    </row>
    <row r="18" spans="1:17" ht="14.4" x14ac:dyDescent="0.3">
      <c r="A18" s="17" t="s">
        <v>45</v>
      </c>
      <c r="B18" s="13" t="s">
        <v>15</v>
      </c>
      <c r="C18" s="13" t="s">
        <v>21</v>
      </c>
      <c r="D18" s="13" t="s">
        <v>13</v>
      </c>
      <c r="E18" s="13">
        <v>877.58</v>
      </c>
      <c r="F18" s="13">
        <v>10</v>
      </c>
      <c r="G18" s="13">
        <v>0.15</v>
      </c>
      <c r="H18" s="14">
        <v>45411</v>
      </c>
      <c r="I18" s="13">
        <v>298.38</v>
      </c>
      <c r="J18">
        <f t="shared" si="0"/>
        <v>-0.27448209849814259</v>
      </c>
      <c r="K18" s="22">
        <f t="shared" ca="1" si="1"/>
        <v>46134.965780555554</v>
      </c>
      <c r="N18" s="2"/>
      <c r="O18" s="5">
        <v>1101.28</v>
      </c>
      <c r="P18" s="5"/>
      <c r="Q18" s="11">
        <f t="shared" si="2"/>
        <v>315.23433704202807</v>
      </c>
    </row>
    <row r="19" spans="1:17" ht="14.4" x14ac:dyDescent="0.3">
      <c r="A19" s="17" t="s">
        <v>29</v>
      </c>
      <c r="B19" s="13" t="s">
        <v>46</v>
      </c>
      <c r="C19" s="13" t="s">
        <v>12</v>
      </c>
      <c r="D19" s="13" t="s">
        <v>13</v>
      </c>
      <c r="E19" s="13">
        <v>636.70000000000005</v>
      </c>
      <c r="F19" s="13">
        <v>4</v>
      </c>
      <c r="G19" s="13">
        <v>0.2</v>
      </c>
      <c r="H19" s="14">
        <v>45411</v>
      </c>
      <c r="I19" s="13">
        <v>203.74</v>
      </c>
      <c r="J19">
        <f t="shared" si="0"/>
        <v>1.3655410711481075</v>
      </c>
      <c r="K19" s="22">
        <f t="shared" ca="1" si="1"/>
        <v>46134.965780555554</v>
      </c>
      <c r="N19" s="2"/>
      <c r="O19" s="5">
        <v>953.3</v>
      </c>
      <c r="P19" s="5"/>
      <c r="Q19" s="11">
        <f t="shared" si="2"/>
        <v>274.22863945702159</v>
      </c>
    </row>
    <row r="20" spans="1:17" ht="14.4" x14ac:dyDescent="0.3">
      <c r="A20" s="17" t="s">
        <v>47</v>
      </c>
      <c r="B20" s="13" t="s">
        <v>48</v>
      </c>
      <c r="C20" s="13" t="s">
        <v>12</v>
      </c>
      <c r="D20" s="13" t="s">
        <v>13</v>
      </c>
      <c r="E20" s="13">
        <v>1506.14</v>
      </c>
      <c r="F20" s="13">
        <v>13</v>
      </c>
      <c r="G20" s="13">
        <v>0.2</v>
      </c>
      <c r="H20" s="14">
        <v>45412</v>
      </c>
      <c r="I20" s="13">
        <v>481.96</v>
      </c>
      <c r="J20">
        <f t="shared" si="0"/>
        <v>-0.57173967891431077</v>
      </c>
      <c r="K20" s="22">
        <f t="shared" ca="1" si="1"/>
        <v>46134.965780555554</v>
      </c>
      <c r="N20" s="2"/>
      <c r="O20" s="5">
        <v>1506.14</v>
      </c>
      <c r="P20" s="5"/>
      <c r="Q20" s="11">
        <f t="shared" si="2"/>
        <v>427.42224570715666</v>
      </c>
    </row>
    <row r="21" spans="1:17" ht="15.75" customHeight="1" x14ac:dyDescent="0.3">
      <c r="A21" s="17" t="s">
        <v>31</v>
      </c>
      <c r="B21" s="13" t="s">
        <v>32</v>
      </c>
      <c r="C21" s="13" t="s">
        <v>35</v>
      </c>
      <c r="D21" s="13" t="s">
        <v>22</v>
      </c>
      <c r="E21" s="13">
        <v>645.02</v>
      </c>
      <c r="F21" s="13">
        <v>4</v>
      </c>
      <c r="G21" s="13">
        <v>0</v>
      </c>
      <c r="H21" s="14">
        <v>45414</v>
      </c>
      <c r="I21" s="13">
        <v>161.26</v>
      </c>
      <c r="J21">
        <f t="shared" si="0"/>
        <v>0.47793866856841644</v>
      </c>
      <c r="K21" s="22">
        <f t="shared" ca="1" si="1"/>
        <v>46134.965780555554</v>
      </c>
      <c r="N21" s="2"/>
      <c r="O21" s="5">
        <v>1572.82</v>
      </c>
      <c r="P21" s="5"/>
      <c r="Q21" s="11">
        <f t="shared" si="2"/>
        <v>445.89947178479031</v>
      </c>
    </row>
    <row r="22" spans="1:17" ht="15.75" customHeight="1" x14ac:dyDescent="0.3">
      <c r="A22" s="17" t="s">
        <v>26</v>
      </c>
      <c r="B22" s="13" t="s">
        <v>49</v>
      </c>
      <c r="C22" s="13" t="s">
        <v>21</v>
      </c>
      <c r="D22" s="13" t="s">
        <v>16</v>
      </c>
      <c r="E22" s="13">
        <v>953.3</v>
      </c>
      <c r="F22" s="13">
        <v>11</v>
      </c>
      <c r="G22" s="13">
        <v>0</v>
      </c>
      <c r="H22" s="14">
        <v>45415</v>
      </c>
      <c r="I22" s="13">
        <v>476.65</v>
      </c>
      <c r="J22">
        <f t="shared" si="0"/>
        <v>-0.5924053288576524</v>
      </c>
      <c r="K22" s="22">
        <f t="shared" ca="1" si="1"/>
        <v>46134.965780555554</v>
      </c>
      <c r="N22" s="2"/>
      <c r="O22" s="5">
        <v>1600</v>
      </c>
      <c r="P22" s="5"/>
      <c r="Q22" s="11">
        <f t="shared" si="2"/>
        <v>453.43113052489355</v>
      </c>
    </row>
    <row r="23" spans="1:17" ht="15.75" customHeight="1" x14ac:dyDescent="0.3">
      <c r="A23" s="17" t="s">
        <v>50</v>
      </c>
      <c r="B23" s="13" t="s">
        <v>15</v>
      </c>
      <c r="C23" s="13" t="s">
        <v>25</v>
      </c>
      <c r="D23" s="13" t="s">
        <v>22</v>
      </c>
      <c r="E23" s="13">
        <v>388.56</v>
      </c>
      <c r="F23" s="13">
        <v>14</v>
      </c>
      <c r="G23" s="13">
        <v>0.15</v>
      </c>
      <c r="H23" s="14">
        <v>45416</v>
      </c>
      <c r="I23" s="13">
        <v>82.57</v>
      </c>
      <c r="J23">
        <f t="shared" si="0"/>
        <v>0.9126261066501955</v>
      </c>
      <c r="K23" s="22">
        <f t="shared" ca="1" si="1"/>
        <v>46134.965780555554</v>
      </c>
      <c r="N23" s="2"/>
      <c r="O23" s="5">
        <v>1700</v>
      </c>
      <c r="P23" s="5"/>
      <c r="Q23" s="11">
        <f t="shared" si="2"/>
        <v>481.1414275819327</v>
      </c>
    </row>
    <row r="24" spans="1:17" ht="15.75" customHeight="1" x14ac:dyDescent="0.3">
      <c r="A24" s="17" t="s">
        <v>10</v>
      </c>
      <c r="B24" s="13" t="s">
        <v>32</v>
      </c>
      <c r="C24" s="13" t="s">
        <v>12</v>
      </c>
      <c r="D24" s="13" t="s">
        <v>13</v>
      </c>
      <c r="E24" s="13">
        <v>743.17</v>
      </c>
      <c r="F24" s="13">
        <v>9</v>
      </c>
      <c r="G24" s="13">
        <v>0</v>
      </c>
      <c r="H24" s="14">
        <v>45416</v>
      </c>
      <c r="I24" s="13">
        <v>297.27</v>
      </c>
      <c r="J24">
        <f t="shared" si="0"/>
        <v>-4.95176070078178E-2</v>
      </c>
      <c r="K24" s="22">
        <f t="shared" ca="1" si="1"/>
        <v>46134.965780555554</v>
      </c>
      <c r="N24" s="2"/>
      <c r="O24" s="5">
        <v>2000</v>
      </c>
      <c r="P24" s="5"/>
      <c r="Q24" s="11">
        <f t="shared" si="2"/>
        <v>564.27231875305006</v>
      </c>
    </row>
    <row r="25" spans="1:17" ht="15.75" customHeight="1" x14ac:dyDescent="0.3">
      <c r="A25" s="17" t="s">
        <v>41</v>
      </c>
      <c r="B25" s="13" t="s">
        <v>32</v>
      </c>
      <c r="C25" s="13" t="s">
        <v>35</v>
      </c>
      <c r="D25" s="13" t="s">
        <v>22</v>
      </c>
      <c r="E25" s="13">
        <v>706.37</v>
      </c>
      <c r="F25" s="13">
        <v>6</v>
      </c>
      <c r="G25" s="13">
        <v>0</v>
      </c>
      <c r="H25" s="14">
        <v>45416</v>
      </c>
      <c r="I25" s="13">
        <v>176.59</v>
      </c>
      <c r="J25">
        <f t="shared" si="0"/>
        <v>0.3099508756034372</v>
      </c>
      <c r="K25" s="22">
        <f t="shared" ca="1" si="1"/>
        <v>46134.965780555554</v>
      </c>
      <c r="N25" s="56"/>
    </row>
    <row r="26" spans="1:17" ht="15.75" customHeight="1" x14ac:dyDescent="0.3">
      <c r="A26" s="17" t="s">
        <v>14</v>
      </c>
      <c r="B26" s="13" t="s">
        <v>32</v>
      </c>
      <c r="C26" s="13" t="s">
        <v>35</v>
      </c>
      <c r="D26" s="13" t="s">
        <v>40</v>
      </c>
      <c r="E26" s="13">
        <v>925.31</v>
      </c>
      <c r="F26" s="13">
        <v>8</v>
      </c>
      <c r="G26" s="13">
        <v>0.1</v>
      </c>
      <c r="H26" s="14">
        <v>45418</v>
      </c>
      <c r="I26" s="13">
        <v>374.75</v>
      </c>
      <c r="J26">
        <f t="shared" si="0"/>
        <v>0.26781294917379034</v>
      </c>
      <c r="K26" s="22">
        <f t="shared" ca="1" si="1"/>
        <v>46134.965780555554</v>
      </c>
      <c r="N26" s="2"/>
    </row>
    <row r="27" spans="1:17" ht="15.75" customHeight="1" x14ac:dyDescent="0.3">
      <c r="A27" s="17" t="s">
        <v>36</v>
      </c>
      <c r="B27" s="13" t="s">
        <v>51</v>
      </c>
      <c r="C27" s="13" t="s">
        <v>21</v>
      </c>
      <c r="D27" s="13" t="s">
        <v>22</v>
      </c>
      <c r="E27" s="13">
        <v>1173.1199999999999</v>
      </c>
      <c r="F27" s="13">
        <v>18</v>
      </c>
      <c r="G27" s="13">
        <v>0</v>
      </c>
      <c r="H27" s="14">
        <v>45418</v>
      </c>
      <c r="I27" s="13">
        <v>293.27999999999997</v>
      </c>
      <c r="J27">
        <f t="shared" si="0"/>
        <v>-0.42415098199672663</v>
      </c>
      <c r="K27" s="22">
        <f t="shared" ca="1" si="1"/>
        <v>46134.965780555554</v>
      </c>
      <c r="N27" s="2" t="s">
        <v>162</v>
      </c>
      <c r="O27" s="3" t="s">
        <v>78</v>
      </c>
    </row>
    <row r="28" spans="1:17" ht="15.75" customHeight="1" x14ac:dyDescent="0.3">
      <c r="A28" s="17" t="s">
        <v>23</v>
      </c>
      <c r="B28" s="13" t="s">
        <v>52</v>
      </c>
      <c r="C28" s="13" t="s">
        <v>25</v>
      </c>
      <c r="D28" s="13" t="s">
        <v>28</v>
      </c>
      <c r="E28" s="13">
        <v>675.54</v>
      </c>
      <c r="F28" s="13">
        <v>17</v>
      </c>
      <c r="G28" s="13">
        <v>0</v>
      </c>
      <c r="H28" s="14">
        <v>45420</v>
      </c>
      <c r="I28" s="13">
        <v>236.44</v>
      </c>
      <c r="J28">
        <f t="shared" si="0"/>
        <v>0.3901323385735857</v>
      </c>
      <c r="K28" s="22">
        <f t="shared" ca="1" si="1"/>
        <v>46134.965780555554</v>
      </c>
      <c r="N28" s="2" t="s">
        <v>163</v>
      </c>
      <c r="O28" s="3" t="s">
        <v>78</v>
      </c>
    </row>
    <row r="29" spans="1:17" ht="15.75" customHeight="1" x14ac:dyDescent="0.3">
      <c r="A29" s="17" t="s">
        <v>26</v>
      </c>
      <c r="B29" s="13" t="s">
        <v>15</v>
      </c>
      <c r="C29" s="13" t="s">
        <v>35</v>
      </c>
      <c r="D29" s="13" t="s">
        <v>13</v>
      </c>
      <c r="E29" s="13">
        <v>939.09</v>
      </c>
      <c r="F29" s="13">
        <v>2</v>
      </c>
      <c r="G29" s="13">
        <v>0.05</v>
      </c>
      <c r="H29" s="14">
        <v>45422</v>
      </c>
      <c r="I29" s="13">
        <v>356.85</v>
      </c>
      <c r="J29">
        <f t="shared" si="0"/>
        <v>4.7120084336964504E-2</v>
      </c>
      <c r="K29" s="22">
        <f t="shared" ca="1" si="1"/>
        <v>46134.965780555554</v>
      </c>
    </row>
    <row r="30" spans="1:17" ht="15.75" customHeight="1" x14ac:dyDescent="0.3">
      <c r="A30" s="17" t="s">
        <v>53</v>
      </c>
      <c r="B30" s="13" t="s">
        <v>54</v>
      </c>
      <c r="C30" s="13" t="s">
        <v>19</v>
      </c>
      <c r="D30" s="13" t="s">
        <v>40</v>
      </c>
      <c r="E30" s="13">
        <v>983.34</v>
      </c>
      <c r="F30" s="13">
        <v>19</v>
      </c>
      <c r="G30" s="13">
        <v>0.1</v>
      </c>
      <c r="H30" s="14">
        <v>45426</v>
      </c>
      <c r="I30" s="13">
        <v>398.25</v>
      </c>
      <c r="J30">
        <f t="shared" si="0"/>
        <v>-0.18521569345292574</v>
      </c>
      <c r="K30" s="22">
        <f t="shared" ca="1" si="1"/>
        <v>46134.965780555554</v>
      </c>
    </row>
    <row r="31" spans="1:17" ht="15.75" customHeight="1" x14ac:dyDescent="0.3">
      <c r="A31" s="17" t="s">
        <v>53</v>
      </c>
      <c r="B31" s="13" t="s">
        <v>24</v>
      </c>
      <c r="C31" s="13" t="s">
        <v>21</v>
      </c>
      <c r="D31" s="13" t="s">
        <v>22</v>
      </c>
      <c r="E31" s="13">
        <v>801.21</v>
      </c>
      <c r="F31" s="13">
        <v>3</v>
      </c>
      <c r="G31" s="13">
        <v>0.2</v>
      </c>
      <c r="H31" s="14">
        <v>45426</v>
      </c>
      <c r="I31" s="13">
        <v>160.24</v>
      </c>
      <c r="J31">
        <f t="shared" si="0"/>
        <v>0.81064889354850789</v>
      </c>
      <c r="K31" s="22">
        <f t="shared" ca="1" si="1"/>
        <v>46134.965780555554</v>
      </c>
    </row>
    <row r="32" spans="1:17" ht="15.75" customHeight="1" x14ac:dyDescent="0.3">
      <c r="A32" s="17" t="s">
        <v>55</v>
      </c>
      <c r="B32" s="13" t="s">
        <v>56</v>
      </c>
      <c r="C32" s="13" t="s">
        <v>25</v>
      </c>
      <c r="D32" s="13" t="s">
        <v>22</v>
      </c>
      <c r="E32" s="13">
        <v>1450.71</v>
      </c>
      <c r="F32" s="13">
        <v>5</v>
      </c>
      <c r="G32" s="13">
        <v>0.1</v>
      </c>
      <c r="H32" s="14">
        <v>45427</v>
      </c>
      <c r="I32" s="13">
        <v>326.41000000000003</v>
      </c>
      <c r="J32">
        <f t="shared" si="0"/>
        <v>-0.29468329300825113</v>
      </c>
      <c r="K32" s="22">
        <f t="shared" ca="1" si="1"/>
        <v>46134.965780555554</v>
      </c>
    </row>
    <row r="33" spans="1:11" ht="15.75" customHeight="1" x14ac:dyDescent="0.3">
      <c r="A33" s="17" t="s">
        <v>50</v>
      </c>
      <c r="B33" s="13" t="s">
        <v>57</v>
      </c>
      <c r="C33" s="13" t="s">
        <v>35</v>
      </c>
      <c r="D33" s="13" t="s">
        <v>13</v>
      </c>
      <c r="E33" s="13">
        <v>1023.21</v>
      </c>
      <c r="F33" s="13">
        <v>18</v>
      </c>
      <c r="G33" s="13">
        <v>0.05</v>
      </c>
      <c r="H33" s="14">
        <v>45428</v>
      </c>
      <c r="I33" s="13">
        <v>388.82</v>
      </c>
      <c r="J33">
        <f t="shared" si="0"/>
        <v>-0.16564537094047166</v>
      </c>
      <c r="K33" s="22">
        <f t="shared" ca="1" si="1"/>
        <v>46134.965780555554</v>
      </c>
    </row>
    <row r="34" spans="1:11" ht="15.75" customHeight="1" x14ac:dyDescent="0.3">
      <c r="A34" s="17" t="s">
        <v>29</v>
      </c>
      <c r="B34" s="13" t="s">
        <v>48</v>
      </c>
      <c r="C34" s="13" t="s">
        <v>12</v>
      </c>
      <c r="D34" s="13" t="s">
        <v>28</v>
      </c>
      <c r="E34" s="13">
        <v>853.72</v>
      </c>
      <c r="F34" s="13">
        <v>5</v>
      </c>
      <c r="G34" s="13">
        <v>0.15</v>
      </c>
      <c r="H34" s="14">
        <v>45428</v>
      </c>
      <c r="I34" s="13">
        <v>253.98</v>
      </c>
      <c r="J34">
        <f t="shared" ref="J34:J65" si="3">(E35 - E34) / E34</f>
        <v>0.13373237126926857</v>
      </c>
      <c r="K34" s="22">
        <f t="shared" ref="K34:K65" ca="1" si="4">NOW()</f>
        <v>46134.965780555554</v>
      </c>
    </row>
    <row r="35" spans="1:11" ht="15.75" customHeight="1" x14ac:dyDescent="0.3">
      <c r="A35" s="17" t="s">
        <v>58</v>
      </c>
      <c r="B35" s="13" t="s">
        <v>44</v>
      </c>
      <c r="C35" s="13" t="s">
        <v>21</v>
      </c>
      <c r="D35" s="13" t="s">
        <v>22</v>
      </c>
      <c r="E35" s="13">
        <v>967.89</v>
      </c>
      <c r="F35" s="13">
        <v>10</v>
      </c>
      <c r="G35" s="13">
        <v>0.1</v>
      </c>
      <c r="H35" s="14">
        <v>45429</v>
      </c>
      <c r="I35" s="13">
        <v>217.78</v>
      </c>
      <c r="J35">
        <f t="shared" si="3"/>
        <v>0.24074016675448667</v>
      </c>
      <c r="K35" s="22">
        <f t="shared" ca="1" si="4"/>
        <v>46134.965780555554</v>
      </c>
    </row>
    <row r="36" spans="1:11" ht="15.75" customHeight="1" x14ac:dyDescent="0.3">
      <c r="A36" s="17" t="s">
        <v>59</v>
      </c>
      <c r="B36" s="13" t="s">
        <v>54</v>
      </c>
      <c r="C36" s="13" t="s">
        <v>25</v>
      </c>
      <c r="D36" s="13" t="s">
        <v>40</v>
      </c>
      <c r="E36" s="13">
        <v>1200.9000000000001</v>
      </c>
      <c r="F36" s="13">
        <v>14</v>
      </c>
      <c r="G36" s="13">
        <v>0.05</v>
      </c>
      <c r="H36" s="14">
        <v>45429</v>
      </c>
      <c r="I36" s="13">
        <v>513.38</v>
      </c>
      <c r="J36">
        <f t="shared" si="3"/>
        <v>-0.60664501623782163</v>
      </c>
      <c r="K36" s="22">
        <f t="shared" ca="1" si="4"/>
        <v>46134.965780555554</v>
      </c>
    </row>
    <row r="37" spans="1:11" ht="15.75" customHeight="1" x14ac:dyDescent="0.3">
      <c r="A37" s="17" t="s">
        <v>14</v>
      </c>
      <c r="B37" s="13" t="s">
        <v>27</v>
      </c>
      <c r="C37" s="13" t="s">
        <v>12</v>
      </c>
      <c r="D37" s="13" t="s">
        <v>13</v>
      </c>
      <c r="E37" s="13">
        <v>472.38</v>
      </c>
      <c r="F37" s="13">
        <v>12</v>
      </c>
      <c r="G37" s="13">
        <v>0.2</v>
      </c>
      <c r="H37" s="14">
        <v>45429</v>
      </c>
      <c r="I37" s="13">
        <v>151.16</v>
      </c>
      <c r="J37">
        <f t="shared" si="3"/>
        <v>0.78017697616325832</v>
      </c>
      <c r="K37" s="22">
        <f t="shared" ca="1" si="4"/>
        <v>46134.965780555554</v>
      </c>
    </row>
    <row r="38" spans="1:11" ht="15.75" customHeight="1" x14ac:dyDescent="0.3">
      <c r="A38" s="17" t="s">
        <v>10</v>
      </c>
      <c r="B38" s="13" t="s">
        <v>56</v>
      </c>
      <c r="C38" s="13" t="s">
        <v>19</v>
      </c>
      <c r="D38" s="13" t="s">
        <v>40</v>
      </c>
      <c r="E38" s="13">
        <v>840.92</v>
      </c>
      <c r="F38" s="13">
        <v>9</v>
      </c>
      <c r="G38" s="13">
        <v>0.05</v>
      </c>
      <c r="H38" s="14">
        <v>45429</v>
      </c>
      <c r="I38" s="13">
        <v>359.49</v>
      </c>
      <c r="J38">
        <f t="shared" si="3"/>
        <v>0.67680635494458452</v>
      </c>
      <c r="K38" s="22">
        <f t="shared" ca="1" si="4"/>
        <v>46134.965780555554</v>
      </c>
    </row>
    <row r="39" spans="1:11" ht="15.75" customHeight="1" x14ac:dyDescent="0.3">
      <c r="A39" s="17" t="s">
        <v>53</v>
      </c>
      <c r="B39" s="13" t="s">
        <v>49</v>
      </c>
      <c r="C39" s="13" t="s">
        <v>35</v>
      </c>
      <c r="D39" s="13" t="s">
        <v>28</v>
      </c>
      <c r="E39" s="13">
        <v>1410.06</v>
      </c>
      <c r="F39" s="13">
        <v>11</v>
      </c>
      <c r="G39" s="13">
        <v>0.05</v>
      </c>
      <c r="H39" s="14">
        <v>45434</v>
      </c>
      <c r="I39" s="13">
        <v>468.84</v>
      </c>
      <c r="J39">
        <f t="shared" si="3"/>
        <v>-0.4517325503879267</v>
      </c>
      <c r="K39" s="22">
        <f t="shared" ca="1" si="4"/>
        <v>46134.965780555554</v>
      </c>
    </row>
    <row r="40" spans="1:11" ht="15.75" customHeight="1" x14ac:dyDescent="0.3">
      <c r="A40" s="17" t="s">
        <v>45</v>
      </c>
      <c r="B40" s="13" t="s">
        <v>60</v>
      </c>
      <c r="C40" s="13" t="s">
        <v>35</v>
      </c>
      <c r="D40" s="13" t="s">
        <v>28</v>
      </c>
      <c r="E40" s="13">
        <v>773.09</v>
      </c>
      <c r="F40" s="13">
        <v>13</v>
      </c>
      <c r="G40" s="13">
        <v>0.15</v>
      </c>
      <c r="H40" s="14">
        <v>45434</v>
      </c>
      <c r="I40" s="13">
        <v>229.99</v>
      </c>
      <c r="J40">
        <f t="shared" si="3"/>
        <v>-0.24920772484445547</v>
      </c>
      <c r="K40" s="22">
        <f t="shared" ca="1" si="4"/>
        <v>46134.965780555554</v>
      </c>
    </row>
    <row r="41" spans="1:11" ht="15.75" customHeight="1" x14ac:dyDescent="0.3">
      <c r="A41" s="17" t="s">
        <v>61</v>
      </c>
      <c r="B41" s="13" t="s">
        <v>62</v>
      </c>
      <c r="C41" s="13" t="s">
        <v>19</v>
      </c>
      <c r="D41" s="13" t="s">
        <v>13</v>
      </c>
      <c r="E41" s="13">
        <v>580.42999999999995</v>
      </c>
      <c r="F41" s="13">
        <v>19</v>
      </c>
      <c r="G41" s="13">
        <v>0.15</v>
      </c>
      <c r="H41" s="14">
        <v>45435</v>
      </c>
      <c r="I41" s="13">
        <v>197.35</v>
      </c>
      <c r="J41">
        <f t="shared" si="3"/>
        <v>0.98337439484520117</v>
      </c>
      <c r="K41" s="22">
        <f t="shared" ca="1" si="4"/>
        <v>46134.965780555554</v>
      </c>
    </row>
    <row r="42" spans="1:11" ht="15.75" customHeight="1" x14ac:dyDescent="0.3">
      <c r="A42" s="17" t="s">
        <v>20</v>
      </c>
      <c r="B42" s="13" t="s">
        <v>43</v>
      </c>
      <c r="C42" s="13" t="s">
        <v>21</v>
      </c>
      <c r="D42" s="13" t="s">
        <v>13</v>
      </c>
      <c r="E42" s="13">
        <v>1151.21</v>
      </c>
      <c r="F42" s="13">
        <v>15</v>
      </c>
      <c r="G42" s="13">
        <v>0.1</v>
      </c>
      <c r="H42" s="14">
        <v>45445</v>
      </c>
      <c r="I42" s="13">
        <v>414.44</v>
      </c>
      <c r="J42">
        <f t="shared" si="3"/>
        <v>-0.10878119543784368</v>
      </c>
      <c r="K42" s="22">
        <f t="shared" ca="1" si="4"/>
        <v>46134.965780555554</v>
      </c>
    </row>
    <row r="43" spans="1:11" ht="15.75" customHeight="1" x14ac:dyDescent="0.3">
      <c r="A43" s="17" t="s">
        <v>53</v>
      </c>
      <c r="B43" s="13" t="s">
        <v>24</v>
      </c>
      <c r="C43" s="13" t="s">
        <v>35</v>
      </c>
      <c r="D43" s="13" t="s">
        <v>40</v>
      </c>
      <c r="E43" s="13">
        <v>1025.98</v>
      </c>
      <c r="F43" s="13">
        <v>5</v>
      </c>
      <c r="G43" s="13">
        <v>0.2</v>
      </c>
      <c r="H43" s="14">
        <v>45447</v>
      </c>
      <c r="I43" s="13">
        <v>369.35</v>
      </c>
      <c r="J43">
        <f t="shared" si="3"/>
        <v>-0.45766974015088019</v>
      </c>
      <c r="K43" s="22">
        <f t="shared" ca="1" si="4"/>
        <v>46134.965780555554</v>
      </c>
    </row>
    <row r="44" spans="1:11" ht="15.75" customHeight="1" x14ac:dyDescent="0.3">
      <c r="A44" s="17" t="s">
        <v>41</v>
      </c>
      <c r="B44" s="13" t="s">
        <v>57</v>
      </c>
      <c r="C44" s="13" t="s">
        <v>19</v>
      </c>
      <c r="D44" s="13" t="s">
        <v>40</v>
      </c>
      <c r="E44" s="13">
        <v>556.41999999999996</v>
      </c>
      <c r="F44" s="13">
        <v>11</v>
      </c>
      <c r="G44" s="13">
        <v>0.15</v>
      </c>
      <c r="H44" s="14">
        <v>45447</v>
      </c>
      <c r="I44" s="13">
        <v>212.83</v>
      </c>
      <c r="J44">
        <f t="shared" si="3"/>
        <v>0.51117860608892574</v>
      </c>
      <c r="K44" s="22">
        <f t="shared" ca="1" si="4"/>
        <v>46134.965780555554</v>
      </c>
    </row>
    <row r="45" spans="1:11" ht="15.75" customHeight="1" x14ac:dyDescent="0.3">
      <c r="A45" s="17" t="s">
        <v>58</v>
      </c>
      <c r="B45" s="13" t="s">
        <v>24</v>
      </c>
      <c r="C45" s="13" t="s">
        <v>35</v>
      </c>
      <c r="D45" s="13" t="s">
        <v>13</v>
      </c>
      <c r="E45" s="13">
        <v>840.85</v>
      </c>
      <c r="F45" s="13">
        <v>19</v>
      </c>
      <c r="G45" s="13">
        <v>0.1</v>
      </c>
      <c r="H45" s="14">
        <v>45448</v>
      </c>
      <c r="I45" s="13">
        <v>302.70999999999998</v>
      </c>
      <c r="J45">
        <f t="shared" si="3"/>
        <v>0.45953499435095435</v>
      </c>
      <c r="K45" s="22">
        <f t="shared" ca="1" si="4"/>
        <v>46134.965780555554</v>
      </c>
    </row>
    <row r="46" spans="1:11" ht="15.75" customHeight="1" x14ac:dyDescent="0.3">
      <c r="A46" s="17" t="s">
        <v>31</v>
      </c>
      <c r="B46" s="13" t="s">
        <v>62</v>
      </c>
      <c r="C46" s="13" t="s">
        <v>25</v>
      </c>
      <c r="D46" s="13" t="s">
        <v>28</v>
      </c>
      <c r="E46" s="13">
        <v>1227.25</v>
      </c>
      <c r="F46" s="13">
        <v>12</v>
      </c>
      <c r="G46" s="13">
        <v>0.15</v>
      </c>
      <c r="H46" s="14">
        <v>45448</v>
      </c>
      <c r="I46" s="13">
        <v>365.11</v>
      </c>
      <c r="J46">
        <f t="shared" si="3"/>
        <v>-0.3019352210226115</v>
      </c>
      <c r="K46" s="22">
        <f t="shared" ca="1" si="4"/>
        <v>46134.965780555554</v>
      </c>
    </row>
    <row r="47" spans="1:11" ht="15.75" customHeight="1" x14ac:dyDescent="0.3">
      <c r="A47" s="17" t="s">
        <v>17</v>
      </c>
      <c r="B47" s="13" t="s">
        <v>63</v>
      </c>
      <c r="C47" s="13" t="s">
        <v>35</v>
      </c>
      <c r="D47" s="13" t="s">
        <v>22</v>
      </c>
      <c r="E47" s="13">
        <v>856.7</v>
      </c>
      <c r="F47" s="13">
        <v>2</v>
      </c>
      <c r="G47" s="13">
        <v>0</v>
      </c>
      <c r="H47" s="14">
        <v>45449</v>
      </c>
      <c r="I47" s="13">
        <v>214.18</v>
      </c>
      <c r="J47">
        <f t="shared" si="3"/>
        <v>0.4303957044472978</v>
      </c>
      <c r="K47" s="22">
        <f t="shared" ca="1" si="4"/>
        <v>46134.965780555554</v>
      </c>
    </row>
    <row r="48" spans="1:11" ht="15.75" customHeight="1" x14ac:dyDescent="0.3">
      <c r="A48" s="17" t="s">
        <v>55</v>
      </c>
      <c r="B48" s="13" t="s">
        <v>57</v>
      </c>
      <c r="C48" s="13" t="s">
        <v>35</v>
      </c>
      <c r="D48" s="13" t="s">
        <v>40</v>
      </c>
      <c r="E48" s="13">
        <v>1225.42</v>
      </c>
      <c r="F48" s="13">
        <v>8</v>
      </c>
      <c r="G48" s="13">
        <v>0.15</v>
      </c>
      <c r="H48" s="14">
        <v>45449</v>
      </c>
      <c r="I48" s="13">
        <v>468.72</v>
      </c>
      <c r="J48">
        <f t="shared" si="3"/>
        <v>-0.18267206345579476</v>
      </c>
      <c r="K48" s="22">
        <f t="shared" ca="1" si="4"/>
        <v>46134.965780555554</v>
      </c>
    </row>
    <row r="49" spans="1:11" ht="15.75" customHeight="1" x14ac:dyDescent="0.3">
      <c r="A49" s="17" t="s">
        <v>64</v>
      </c>
      <c r="B49" s="13" t="s">
        <v>32</v>
      </c>
      <c r="C49" s="13" t="s">
        <v>25</v>
      </c>
      <c r="D49" s="13" t="s">
        <v>40</v>
      </c>
      <c r="E49" s="13">
        <v>1001.57</v>
      </c>
      <c r="F49" s="13">
        <v>12</v>
      </c>
      <c r="G49" s="13">
        <v>0</v>
      </c>
      <c r="H49" s="14">
        <v>45450</v>
      </c>
      <c r="I49" s="13">
        <v>450.71</v>
      </c>
      <c r="J49">
        <f t="shared" si="3"/>
        <v>0.18498956638078201</v>
      </c>
      <c r="K49" s="22">
        <f t="shared" ca="1" si="4"/>
        <v>46134.965780555554</v>
      </c>
    </row>
    <row r="50" spans="1:11" ht="15.75" customHeight="1" x14ac:dyDescent="0.3">
      <c r="A50" s="17" t="s">
        <v>58</v>
      </c>
      <c r="B50" s="13" t="s">
        <v>27</v>
      </c>
      <c r="C50" s="13" t="s">
        <v>19</v>
      </c>
      <c r="D50" s="13" t="s">
        <v>28</v>
      </c>
      <c r="E50" s="13">
        <v>1186.8499999999999</v>
      </c>
      <c r="F50" s="13">
        <v>19</v>
      </c>
      <c r="G50" s="13">
        <v>0.2</v>
      </c>
      <c r="H50" s="14">
        <v>45451</v>
      </c>
      <c r="I50" s="13">
        <v>332.32</v>
      </c>
      <c r="J50">
        <f t="shared" si="3"/>
        <v>-0.34663184058642615</v>
      </c>
      <c r="K50" s="22">
        <f t="shared" ca="1" si="4"/>
        <v>46134.965780555554</v>
      </c>
    </row>
    <row r="51" spans="1:11" ht="15.75" customHeight="1" x14ac:dyDescent="0.3">
      <c r="A51" s="17" t="s">
        <v>45</v>
      </c>
      <c r="B51" s="13" t="s">
        <v>52</v>
      </c>
      <c r="C51" s="13" t="s">
        <v>21</v>
      </c>
      <c r="D51" s="13" t="s">
        <v>22</v>
      </c>
      <c r="E51" s="13">
        <v>775.45</v>
      </c>
      <c r="F51" s="13">
        <v>6</v>
      </c>
      <c r="G51" s="13">
        <v>0.1</v>
      </c>
      <c r="H51" s="14">
        <v>45457</v>
      </c>
      <c r="I51" s="13">
        <v>174.48</v>
      </c>
      <c r="J51">
        <f t="shared" si="3"/>
        <v>0.3172609452575923</v>
      </c>
      <c r="K51" s="22">
        <f t="shared" ca="1" si="4"/>
        <v>46134.965780555554</v>
      </c>
    </row>
    <row r="52" spans="1:11" ht="15.75" customHeight="1" x14ac:dyDescent="0.3">
      <c r="A52" s="17" t="s">
        <v>26</v>
      </c>
      <c r="B52" s="13" t="s">
        <v>34</v>
      </c>
      <c r="C52" s="13" t="s">
        <v>21</v>
      </c>
      <c r="D52" s="13" t="s">
        <v>22</v>
      </c>
      <c r="E52" s="13">
        <v>1021.47</v>
      </c>
      <c r="F52" s="13">
        <v>6</v>
      </c>
      <c r="G52" s="13">
        <v>0.05</v>
      </c>
      <c r="H52" s="14">
        <v>45461</v>
      </c>
      <c r="I52" s="13">
        <v>242.6</v>
      </c>
      <c r="J52">
        <f t="shared" si="3"/>
        <v>0.20083800796890741</v>
      </c>
      <c r="K52" s="22">
        <f t="shared" ca="1" si="4"/>
        <v>46134.965780555554</v>
      </c>
    </row>
    <row r="53" spans="1:11" ht="15.75" customHeight="1" x14ac:dyDescent="0.3">
      <c r="A53" s="17" t="s">
        <v>59</v>
      </c>
      <c r="B53" s="13" t="s">
        <v>24</v>
      </c>
      <c r="C53" s="13" t="s">
        <v>21</v>
      </c>
      <c r="D53" s="13" t="s">
        <v>16</v>
      </c>
      <c r="E53" s="13">
        <v>1226.6199999999999</v>
      </c>
      <c r="F53" s="13">
        <v>7</v>
      </c>
      <c r="G53" s="13">
        <v>0.1</v>
      </c>
      <c r="H53" s="14">
        <v>45463</v>
      </c>
      <c r="I53" s="13">
        <v>551.98</v>
      </c>
      <c r="J53">
        <f t="shared" si="3"/>
        <v>-0.11388204986059239</v>
      </c>
      <c r="K53" s="22">
        <f t="shared" ca="1" si="4"/>
        <v>46134.965780555554</v>
      </c>
    </row>
    <row r="54" spans="1:11" ht="15.75" customHeight="1" x14ac:dyDescent="0.3">
      <c r="A54" s="17" t="s">
        <v>23</v>
      </c>
      <c r="B54" s="13" t="s">
        <v>65</v>
      </c>
      <c r="C54" s="13" t="s">
        <v>21</v>
      </c>
      <c r="D54" s="13" t="s">
        <v>28</v>
      </c>
      <c r="E54" s="13">
        <v>1086.93</v>
      </c>
      <c r="F54" s="13">
        <v>2</v>
      </c>
      <c r="G54" s="13">
        <v>0</v>
      </c>
      <c r="H54" s="14">
        <v>45464</v>
      </c>
      <c r="I54" s="13">
        <v>380.43</v>
      </c>
      <c r="J54">
        <f t="shared" si="3"/>
        <v>-0.13251083326433172</v>
      </c>
      <c r="K54" s="22">
        <f t="shared" ca="1" si="4"/>
        <v>46134.965780555554</v>
      </c>
    </row>
    <row r="55" spans="1:11" ht="15.75" customHeight="1" x14ac:dyDescent="0.3">
      <c r="A55" s="17" t="s">
        <v>66</v>
      </c>
      <c r="B55" s="13" t="s">
        <v>49</v>
      </c>
      <c r="C55" s="13" t="s">
        <v>12</v>
      </c>
      <c r="D55" s="13" t="s">
        <v>13</v>
      </c>
      <c r="E55" s="13">
        <v>942.9</v>
      </c>
      <c r="F55" s="13">
        <v>18</v>
      </c>
      <c r="G55" s="13">
        <v>0.1</v>
      </c>
      <c r="H55" s="14">
        <v>45466</v>
      </c>
      <c r="I55" s="13">
        <v>339.44</v>
      </c>
      <c r="J55">
        <f t="shared" si="3"/>
        <v>-0.13161522961077529</v>
      </c>
      <c r="K55" s="22">
        <f t="shared" ca="1" si="4"/>
        <v>46134.965780555554</v>
      </c>
    </row>
    <row r="56" spans="1:11" ht="15.75" customHeight="1" x14ac:dyDescent="0.3">
      <c r="A56" s="17" t="s">
        <v>33</v>
      </c>
      <c r="B56" s="13" t="s">
        <v>39</v>
      </c>
      <c r="C56" s="13" t="s">
        <v>25</v>
      </c>
      <c r="D56" s="13" t="s">
        <v>22</v>
      </c>
      <c r="E56" s="13">
        <v>818.8</v>
      </c>
      <c r="F56" s="13">
        <v>15</v>
      </c>
      <c r="G56" s="13">
        <v>0.15</v>
      </c>
      <c r="H56" s="14">
        <v>45468</v>
      </c>
      <c r="I56" s="13">
        <v>173.99</v>
      </c>
      <c r="J56">
        <f t="shared" si="3"/>
        <v>0.12242305813385444</v>
      </c>
      <c r="K56" s="22">
        <f t="shared" ca="1" si="4"/>
        <v>46134.965780555554</v>
      </c>
    </row>
    <row r="57" spans="1:11" ht="15.75" customHeight="1" x14ac:dyDescent="0.3">
      <c r="A57" s="17" t="s">
        <v>20</v>
      </c>
      <c r="B57" s="13" t="s">
        <v>15</v>
      </c>
      <c r="C57" s="13" t="s">
        <v>21</v>
      </c>
      <c r="D57" s="13" t="s">
        <v>28</v>
      </c>
      <c r="E57" s="13">
        <v>919.04</v>
      </c>
      <c r="F57" s="13">
        <v>10</v>
      </c>
      <c r="G57" s="13">
        <v>0.2</v>
      </c>
      <c r="H57" s="14">
        <v>45468</v>
      </c>
      <c r="I57" s="13">
        <v>257.33</v>
      </c>
      <c r="J57">
        <f t="shared" si="3"/>
        <v>5.8996344011142093E-2</v>
      </c>
      <c r="K57" s="22">
        <f t="shared" ca="1" si="4"/>
        <v>46134.965780555554</v>
      </c>
    </row>
    <row r="58" spans="1:11" ht="15.75" customHeight="1" x14ac:dyDescent="0.3">
      <c r="A58" s="17" t="s">
        <v>23</v>
      </c>
      <c r="B58" s="13" t="s">
        <v>67</v>
      </c>
      <c r="C58" s="13" t="s">
        <v>35</v>
      </c>
      <c r="D58" s="13" t="s">
        <v>13</v>
      </c>
      <c r="E58" s="13">
        <v>973.26</v>
      </c>
      <c r="F58" s="13">
        <v>11</v>
      </c>
      <c r="G58" s="13">
        <v>0</v>
      </c>
      <c r="H58" s="14">
        <v>45470</v>
      </c>
      <c r="I58" s="13">
        <v>389.3</v>
      </c>
      <c r="J58">
        <f t="shared" si="3"/>
        <v>-0.23801450794237919</v>
      </c>
      <c r="K58" s="22">
        <f t="shared" ca="1" si="4"/>
        <v>46134.965780555554</v>
      </c>
    </row>
    <row r="59" spans="1:11" ht="15.75" customHeight="1" x14ac:dyDescent="0.3">
      <c r="A59" s="17" t="s">
        <v>42</v>
      </c>
      <c r="B59" s="13" t="s">
        <v>65</v>
      </c>
      <c r="C59" s="13" t="s">
        <v>25</v>
      </c>
      <c r="D59" s="13" t="s">
        <v>22</v>
      </c>
      <c r="E59" s="13">
        <v>741.61</v>
      </c>
      <c r="F59" s="13">
        <v>1</v>
      </c>
      <c r="G59" s="13">
        <v>0.2</v>
      </c>
      <c r="H59" s="14">
        <v>45471</v>
      </c>
      <c r="I59" s="13">
        <v>148.32</v>
      </c>
      <c r="J59">
        <f t="shared" si="3"/>
        <v>0.68393090708054083</v>
      </c>
      <c r="K59" s="22">
        <f t="shared" ca="1" si="4"/>
        <v>46134.965780555554</v>
      </c>
    </row>
    <row r="60" spans="1:11" ht="15.75" customHeight="1" x14ac:dyDescent="0.3">
      <c r="A60" s="17" t="s">
        <v>68</v>
      </c>
      <c r="B60" s="13" t="s">
        <v>39</v>
      </c>
      <c r="C60" s="13" t="s">
        <v>25</v>
      </c>
      <c r="D60" s="13" t="s">
        <v>13</v>
      </c>
      <c r="E60" s="13">
        <v>1248.82</v>
      </c>
      <c r="F60" s="13">
        <v>2</v>
      </c>
      <c r="G60" s="13">
        <v>0.1</v>
      </c>
      <c r="H60" s="14">
        <v>45473</v>
      </c>
      <c r="I60" s="13">
        <v>449.58</v>
      </c>
      <c r="J60">
        <f t="shared" si="3"/>
        <v>8.9316314600983299E-2</v>
      </c>
      <c r="K60" s="22">
        <f t="shared" ca="1" si="4"/>
        <v>46134.965780555554</v>
      </c>
    </row>
    <row r="61" spans="1:11" ht="15.75" customHeight="1" x14ac:dyDescent="0.3">
      <c r="A61" s="17" t="s">
        <v>14</v>
      </c>
      <c r="B61" s="13" t="s">
        <v>60</v>
      </c>
      <c r="C61" s="13" t="s">
        <v>12</v>
      </c>
      <c r="D61" s="13" t="s">
        <v>16</v>
      </c>
      <c r="E61" s="13">
        <v>1360.36</v>
      </c>
      <c r="F61" s="13">
        <v>17</v>
      </c>
      <c r="G61" s="13">
        <v>0</v>
      </c>
      <c r="H61" s="14">
        <v>45473</v>
      </c>
      <c r="I61" s="13">
        <v>680.18</v>
      </c>
      <c r="J61">
        <f t="shared" si="3"/>
        <v>1.6863183275015479E-2</v>
      </c>
      <c r="K61" s="22">
        <f t="shared" ca="1" si="4"/>
        <v>46134.965780555554</v>
      </c>
    </row>
    <row r="62" spans="1:11" ht="15.75" customHeight="1" x14ac:dyDescent="0.3">
      <c r="A62" s="17" t="s">
        <v>58</v>
      </c>
      <c r="B62" s="13" t="s">
        <v>32</v>
      </c>
      <c r="C62" s="13" t="s">
        <v>19</v>
      </c>
      <c r="D62" s="13" t="s">
        <v>13</v>
      </c>
      <c r="E62" s="13">
        <v>1383.3</v>
      </c>
      <c r="F62" s="13">
        <v>8</v>
      </c>
      <c r="G62" s="13">
        <v>0.1</v>
      </c>
      <c r="H62" s="14">
        <v>45478</v>
      </c>
      <c r="I62" s="13">
        <v>497.99</v>
      </c>
      <c r="J62">
        <f t="shared" si="3"/>
        <v>-0.64650473505385675</v>
      </c>
      <c r="K62" s="22">
        <f t="shared" ca="1" si="4"/>
        <v>46134.965780555554</v>
      </c>
    </row>
    <row r="63" spans="1:11" ht="15.75" customHeight="1" x14ac:dyDescent="0.3">
      <c r="A63" s="17" t="s">
        <v>36</v>
      </c>
      <c r="B63" s="13" t="s">
        <v>56</v>
      </c>
      <c r="C63" s="13" t="s">
        <v>35</v>
      </c>
      <c r="D63" s="13" t="s">
        <v>40</v>
      </c>
      <c r="E63" s="13">
        <v>488.99</v>
      </c>
      <c r="F63" s="13">
        <v>9</v>
      </c>
      <c r="G63" s="13">
        <v>0</v>
      </c>
      <c r="H63" s="14">
        <v>45479</v>
      </c>
      <c r="I63" s="13">
        <v>220.05</v>
      </c>
      <c r="J63">
        <f t="shared" si="3"/>
        <v>0.90946645125667192</v>
      </c>
      <c r="K63" s="22">
        <f t="shared" ca="1" si="4"/>
        <v>46134.965780555554</v>
      </c>
    </row>
    <row r="64" spans="1:11" ht="15.75" customHeight="1" x14ac:dyDescent="0.3">
      <c r="A64" s="17" t="s">
        <v>31</v>
      </c>
      <c r="B64" s="13" t="s">
        <v>32</v>
      </c>
      <c r="C64" s="13" t="s">
        <v>19</v>
      </c>
      <c r="D64" s="13" t="s">
        <v>28</v>
      </c>
      <c r="E64" s="13">
        <v>933.71</v>
      </c>
      <c r="F64" s="13">
        <v>17</v>
      </c>
      <c r="G64" s="13">
        <v>0.1</v>
      </c>
      <c r="H64" s="14">
        <v>45481</v>
      </c>
      <c r="I64" s="13">
        <v>294.12</v>
      </c>
      <c r="J64">
        <f t="shared" si="3"/>
        <v>7.6918957706354152E-2</v>
      </c>
      <c r="K64" s="22">
        <f t="shared" ca="1" si="4"/>
        <v>46134.965780555554</v>
      </c>
    </row>
    <row r="65" spans="1:11" ht="15.75" customHeight="1" x14ac:dyDescent="0.3">
      <c r="A65" s="17" t="s">
        <v>68</v>
      </c>
      <c r="B65" s="13" t="s">
        <v>11</v>
      </c>
      <c r="C65" s="13" t="s">
        <v>12</v>
      </c>
      <c r="D65" s="13" t="s">
        <v>22</v>
      </c>
      <c r="E65" s="13">
        <v>1005.53</v>
      </c>
      <c r="F65" s="13">
        <v>17</v>
      </c>
      <c r="G65" s="13">
        <v>0.2</v>
      </c>
      <c r="H65" s="14">
        <v>45481</v>
      </c>
      <c r="I65" s="13">
        <v>201.11</v>
      </c>
      <c r="J65">
        <f t="shared" si="3"/>
        <v>9.4049904030710119E-2</v>
      </c>
      <c r="K65" s="22">
        <f t="shared" ca="1" si="4"/>
        <v>46134.965780555554</v>
      </c>
    </row>
    <row r="66" spans="1:11" ht="15.75" customHeight="1" x14ac:dyDescent="0.3">
      <c r="A66" s="17" t="s">
        <v>42</v>
      </c>
      <c r="B66" s="13" t="s">
        <v>62</v>
      </c>
      <c r="C66" s="13" t="s">
        <v>21</v>
      </c>
      <c r="D66" s="13" t="s">
        <v>22</v>
      </c>
      <c r="E66" s="13">
        <v>1100.0999999999999</v>
      </c>
      <c r="F66" s="13">
        <v>5</v>
      </c>
      <c r="G66" s="13">
        <v>0.05</v>
      </c>
      <c r="H66" s="14">
        <v>45482</v>
      </c>
      <c r="I66" s="13">
        <v>261.27</v>
      </c>
      <c r="J66">
        <f t="shared" ref="J66:J97" si="5">(E67 - E66) / E66</f>
        <v>-5.9449140987182868E-2</v>
      </c>
      <c r="K66" s="22">
        <f t="shared" ref="K66:K97" ca="1" si="6">NOW()</f>
        <v>46134.965780555554</v>
      </c>
    </row>
    <row r="67" spans="1:11" ht="15.75" customHeight="1" x14ac:dyDescent="0.3">
      <c r="A67" s="17" t="s">
        <v>68</v>
      </c>
      <c r="B67" s="13" t="s">
        <v>24</v>
      </c>
      <c r="C67" s="13" t="s">
        <v>25</v>
      </c>
      <c r="D67" s="13" t="s">
        <v>28</v>
      </c>
      <c r="E67" s="13">
        <v>1034.7</v>
      </c>
      <c r="F67" s="13">
        <v>15</v>
      </c>
      <c r="G67" s="13">
        <v>0.15</v>
      </c>
      <c r="H67" s="14">
        <v>45487</v>
      </c>
      <c r="I67" s="13">
        <v>307.82</v>
      </c>
      <c r="J67">
        <f t="shared" si="5"/>
        <v>-0.15295254663187396</v>
      </c>
      <c r="K67" s="22">
        <f t="shared" ca="1" si="6"/>
        <v>46134.965780555554</v>
      </c>
    </row>
    <row r="68" spans="1:11" ht="15.75" customHeight="1" x14ac:dyDescent="0.3">
      <c r="A68" s="17" t="s">
        <v>66</v>
      </c>
      <c r="B68" s="13" t="s">
        <v>32</v>
      </c>
      <c r="C68" s="13" t="s">
        <v>21</v>
      </c>
      <c r="D68" s="13" t="s">
        <v>13</v>
      </c>
      <c r="E68" s="13">
        <v>876.44</v>
      </c>
      <c r="F68" s="13">
        <v>12</v>
      </c>
      <c r="G68" s="13">
        <v>0.05</v>
      </c>
      <c r="H68" s="14">
        <v>45488</v>
      </c>
      <c r="I68" s="13">
        <v>333.05</v>
      </c>
      <c r="J68">
        <f t="shared" si="5"/>
        <v>0.56467071334033114</v>
      </c>
      <c r="K68" s="22">
        <f t="shared" ca="1" si="6"/>
        <v>46134.965780555554</v>
      </c>
    </row>
    <row r="69" spans="1:11" ht="15.75" customHeight="1" x14ac:dyDescent="0.3">
      <c r="A69" s="17" t="s">
        <v>69</v>
      </c>
      <c r="B69" s="13" t="s">
        <v>56</v>
      </c>
      <c r="C69" s="13" t="s">
        <v>12</v>
      </c>
      <c r="D69" s="13" t="s">
        <v>28</v>
      </c>
      <c r="E69" s="13">
        <v>1371.34</v>
      </c>
      <c r="F69" s="13">
        <v>5</v>
      </c>
      <c r="G69" s="13">
        <v>0.05</v>
      </c>
      <c r="H69" s="14">
        <v>45488</v>
      </c>
      <c r="I69" s="13">
        <v>455.97</v>
      </c>
      <c r="J69">
        <f t="shared" si="5"/>
        <v>-0.25601236746539879</v>
      </c>
      <c r="K69" s="22">
        <f t="shared" ca="1" si="6"/>
        <v>46134.965780555554</v>
      </c>
    </row>
    <row r="70" spans="1:11" ht="15.75" customHeight="1" x14ac:dyDescent="0.3">
      <c r="A70" s="17" t="s">
        <v>58</v>
      </c>
      <c r="B70" s="13" t="s">
        <v>48</v>
      </c>
      <c r="C70" s="13" t="s">
        <v>25</v>
      </c>
      <c r="D70" s="13" t="s">
        <v>22</v>
      </c>
      <c r="E70" s="13">
        <v>1020.26</v>
      </c>
      <c r="F70" s="13">
        <v>11</v>
      </c>
      <c r="G70" s="13">
        <v>0.05</v>
      </c>
      <c r="H70" s="14">
        <v>45494</v>
      </c>
      <c r="I70" s="13">
        <v>242.31</v>
      </c>
      <c r="J70">
        <f t="shared" si="5"/>
        <v>-0.21117166212534064</v>
      </c>
      <c r="K70" s="22">
        <f t="shared" ca="1" si="6"/>
        <v>46134.965780555554</v>
      </c>
    </row>
    <row r="71" spans="1:11" ht="15.75" customHeight="1" x14ac:dyDescent="0.3">
      <c r="A71" s="17" t="s">
        <v>45</v>
      </c>
      <c r="B71" s="13" t="s">
        <v>11</v>
      </c>
      <c r="C71" s="13" t="s">
        <v>35</v>
      </c>
      <c r="D71" s="13" t="s">
        <v>40</v>
      </c>
      <c r="E71" s="13">
        <v>804.81</v>
      </c>
      <c r="F71" s="13">
        <v>1</v>
      </c>
      <c r="G71" s="13">
        <v>0.05</v>
      </c>
      <c r="H71" s="14">
        <v>45502</v>
      </c>
      <c r="I71" s="13">
        <v>344.06</v>
      </c>
      <c r="J71">
        <f t="shared" si="5"/>
        <v>-0.24372212074899666</v>
      </c>
      <c r="K71" s="22">
        <f t="shared" ca="1" si="6"/>
        <v>46134.965780555554</v>
      </c>
    </row>
    <row r="72" spans="1:11" ht="15.75" customHeight="1" x14ac:dyDescent="0.3">
      <c r="A72" s="17" t="s">
        <v>23</v>
      </c>
      <c r="B72" s="13" t="s">
        <v>56</v>
      </c>
      <c r="C72" s="13" t="s">
        <v>35</v>
      </c>
      <c r="D72" s="13" t="s">
        <v>22</v>
      </c>
      <c r="E72" s="13">
        <v>608.66</v>
      </c>
      <c r="F72" s="13">
        <v>1</v>
      </c>
      <c r="G72" s="13">
        <v>0.05</v>
      </c>
      <c r="H72" s="14">
        <v>45503</v>
      </c>
      <c r="I72" s="13">
        <v>144.56</v>
      </c>
      <c r="J72">
        <f t="shared" si="5"/>
        <v>0.61206584957118937</v>
      </c>
      <c r="K72" s="22">
        <f t="shared" ca="1" si="6"/>
        <v>46134.965780555554</v>
      </c>
    </row>
    <row r="73" spans="1:11" ht="15.75" customHeight="1" x14ac:dyDescent="0.3">
      <c r="A73" s="17" t="s">
        <v>69</v>
      </c>
      <c r="B73" s="13" t="s">
        <v>70</v>
      </c>
      <c r="C73" s="13" t="s">
        <v>21</v>
      </c>
      <c r="D73" s="13" t="s">
        <v>40</v>
      </c>
      <c r="E73" s="13">
        <v>981.2</v>
      </c>
      <c r="F73" s="13">
        <v>19</v>
      </c>
      <c r="G73" s="13">
        <v>0</v>
      </c>
      <c r="H73" s="14">
        <v>45504</v>
      </c>
      <c r="I73" s="13">
        <v>441.54</v>
      </c>
      <c r="J73">
        <f t="shared" si="5"/>
        <v>-0.44988789237668164</v>
      </c>
      <c r="K73" s="22">
        <f t="shared" ca="1" si="6"/>
        <v>46134.965780555554</v>
      </c>
    </row>
    <row r="74" spans="1:11" ht="15.75" customHeight="1" x14ac:dyDescent="0.3">
      <c r="A74" s="17" t="s">
        <v>71</v>
      </c>
      <c r="B74" s="13" t="s">
        <v>56</v>
      </c>
      <c r="C74" s="13" t="s">
        <v>19</v>
      </c>
      <c r="D74" s="13" t="s">
        <v>22</v>
      </c>
      <c r="E74" s="13">
        <v>539.77</v>
      </c>
      <c r="F74" s="13">
        <v>10</v>
      </c>
      <c r="G74" s="13">
        <v>0.15</v>
      </c>
      <c r="H74" s="14">
        <v>45509</v>
      </c>
      <c r="I74" s="13">
        <v>114.7</v>
      </c>
      <c r="J74">
        <f t="shared" si="5"/>
        <v>0.4903570039090725</v>
      </c>
      <c r="K74" s="22">
        <f t="shared" ca="1" si="6"/>
        <v>46134.965780555554</v>
      </c>
    </row>
    <row r="75" spans="1:11" ht="15.75" customHeight="1" x14ac:dyDescent="0.3">
      <c r="A75" s="17" t="s">
        <v>14</v>
      </c>
      <c r="B75" s="13" t="s">
        <v>72</v>
      </c>
      <c r="C75" s="13" t="s">
        <v>21</v>
      </c>
      <c r="D75" s="13" t="s">
        <v>13</v>
      </c>
      <c r="E75" s="13">
        <v>804.45</v>
      </c>
      <c r="F75" s="13">
        <v>5</v>
      </c>
      <c r="G75" s="13">
        <v>0.2</v>
      </c>
      <c r="H75" s="14">
        <v>45509</v>
      </c>
      <c r="I75" s="13">
        <v>257.42</v>
      </c>
      <c r="J75">
        <f t="shared" si="5"/>
        <v>0.8976940766983651</v>
      </c>
      <c r="K75" s="22">
        <f t="shared" ca="1" si="6"/>
        <v>46134.965780555554</v>
      </c>
    </row>
    <row r="76" spans="1:11" ht="15.75" customHeight="1" x14ac:dyDescent="0.3">
      <c r="A76" s="17" t="s">
        <v>71</v>
      </c>
      <c r="B76" s="13" t="s">
        <v>39</v>
      </c>
      <c r="C76" s="13" t="s">
        <v>12</v>
      </c>
      <c r="D76" s="13" t="s">
        <v>22</v>
      </c>
      <c r="E76" s="13">
        <v>1526.6</v>
      </c>
      <c r="F76" s="13">
        <v>13</v>
      </c>
      <c r="G76" s="13">
        <v>0.2</v>
      </c>
      <c r="H76" s="14">
        <v>45512</v>
      </c>
      <c r="I76" s="13">
        <v>305.32</v>
      </c>
      <c r="J76">
        <f t="shared" si="5"/>
        <v>-0.20394340364208041</v>
      </c>
      <c r="K76" s="22">
        <f t="shared" ca="1" si="6"/>
        <v>46134.965780555554</v>
      </c>
    </row>
    <row r="77" spans="1:11" ht="15.75" customHeight="1" x14ac:dyDescent="0.3">
      <c r="A77" s="17" t="s">
        <v>14</v>
      </c>
      <c r="B77" s="13" t="s">
        <v>30</v>
      </c>
      <c r="C77" s="13" t="s">
        <v>12</v>
      </c>
      <c r="D77" s="13" t="s">
        <v>22</v>
      </c>
      <c r="E77" s="13">
        <v>1215.26</v>
      </c>
      <c r="F77" s="13">
        <v>5</v>
      </c>
      <c r="G77" s="13">
        <v>0.15</v>
      </c>
      <c r="H77" s="14">
        <v>45513</v>
      </c>
      <c r="I77" s="13">
        <v>258.24</v>
      </c>
      <c r="J77">
        <f t="shared" si="5"/>
        <v>3.79178118262758E-2</v>
      </c>
      <c r="K77" s="22">
        <f t="shared" ca="1" si="6"/>
        <v>46134.965780555554</v>
      </c>
    </row>
    <row r="78" spans="1:11" ht="15.75" customHeight="1" x14ac:dyDescent="0.3">
      <c r="A78" s="17" t="s">
        <v>20</v>
      </c>
      <c r="B78" s="13" t="s">
        <v>54</v>
      </c>
      <c r="C78" s="13" t="s">
        <v>35</v>
      </c>
      <c r="D78" s="13" t="s">
        <v>28</v>
      </c>
      <c r="E78" s="13">
        <v>1261.3399999999999</v>
      </c>
      <c r="F78" s="13">
        <v>3</v>
      </c>
      <c r="G78" s="13">
        <v>0</v>
      </c>
      <c r="H78" s="14">
        <v>45519</v>
      </c>
      <c r="I78" s="13">
        <v>441.47</v>
      </c>
      <c r="J78">
        <f t="shared" si="5"/>
        <v>-0.589270141278323</v>
      </c>
      <c r="K78" s="22">
        <f t="shared" ca="1" si="6"/>
        <v>46134.965780555554</v>
      </c>
    </row>
    <row r="79" spans="1:11" ht="15.75" customHeight="1" x14ac:dyDescent="0.3">
      <c r="A79" s="17" t="s">
        <v>73</v>
      </c>
      <c r="B79" s="13" t="s">
        <v>46</v>
      </c>
      <c r="C79" s="13" t="s">
        <v>25</v>
      </c>
      <c r="D79" s="13" t="s">
        <v>28</v>
      </c>
      <c r="E79" s="13">
        <v>518.07000000000005</v>
      </c>
      <c r="F79" s="13">
        <v>7</v>
      </c>
      <c r="G79" s="13">
        <v>0.05</v>
      </c>
      <c r="H79" s="14">
        <v>45522</v>
      </c>
      <c r="I79" s="13">
        <v>172.26</v>
      </c>
      <c r="J79">
        <f t="shared" si="5"/>
        <v>1.1451541297508054</v>
      </c>
      <c r="K79" s="22">
        <f t="shared" ca="1" si="6"/>
        <v>46134.965780555554</v>
      </c>
    </row>
    <row r="80" spans="1:11" ht="15.75" customHeight="1" x14ac:dyDescent="0.3">
      <c r="A80" s="17" t="s">
        <v>31</v>
      </c>
      <c r="B80" s="13" t="s">
        <v>30</v>
      </c>
      <c r="C80" s="13" t="s">
        <v>12</v>
      </c>
      <c r="D80" s="13" t="s">
        <v>40</v>
      </c>
      <c r="E80" s="13">
        <v>1111.3399999999999</v>
      </c>
      <c r="F80" s="13">
        <v>1</v>
      </c>
      <c r="G80" s="13">
        <v>0</v>
      </c>
      <c r="H80" s="14">
        <v>45523</v>
      </c>
      <c r="I80" s="13">
        <v>500.1</v>
      </c>
      <c r="J80">
        <f t="shared" si="5"/>
        <v>0.16208361077618022</v>
      </c>
      <c r="K80" s="22">
        <f t="shared" ca="1" si="6"/>
        <v>46134.965780555554</v>
      </c>
    </row>
    <row r="81" spans="1:11" ht="15.75" customHeight="1" x14ac:dyDescent="0.3">
      <c r="A81" s="17" t="s">
        <v>23</v>
      </c>
      <c r="B81" s="13" t="s">
        <v>32</v>
      </c>
      <c r="C81" s="13" t="s">
        <v>19</v>
      </c>
      <c r="D81" s="13" t="s">
        <v>16</v>
      </c>
      <c r="E81" s="13">
        <v>1291.47</v>
      </c>
      <c r="F81" s="13">
        <v>18</v>
      </c>
      <c r="G81" s="13">
        <v>0.1</v>
      </c>
      <c r="H81" s="14">
        <v>45526</v>
      </c>
      <c r="I81" s="13">
        <v>581.16</v>
      </c>
      <c r="J81">
        <f t="shared" si="5"/>
        <v>-0.4736927687054287</v>
      </c>
      <c r="K81" s="22">
        <f t="shared" ca="1" si="6"/>
        <v>46134.965780555554</v>
      </c>
    </row>
    <row r="82" spans="1:11" ht="15.75" customHeight="1" x14ac:dyDescent="0.3">
      <c r="A82" s="17" t="s">
        <v>26</v>
      </c>
      <c r="B82" s="13" t="s">
        <v>56</v>
      </c>
      <c r="C82" s="13" t="s">
        <v>25</v>
      </c>
      <c r="D82" s="13" t="s">
        <v>13</v>
      </c>
      <c r="E82" s="13">
        <v>679.71</v>
      </c>
      <c r="F82" s="13">
        <v>19</v>
      </c>
      <c r="G82" s="13">
        <v>0</v>
      </c>
      <c r="H82" s="14">
        <v>45534</v>
      </c>
      <c r="I82" s="13">
        <v>271.88</v>
      </c>
      <c r="J82">
        <f t="shared" si="5"/>
        <v>0.68261464448073439</v>
      </c>
      <c r="K82" s="22">
        <f t="shared" ca="1" si="6"/>
        <v>46134.965780555554</v>
      </c>
    </row>
    <row r="83" spans="1:11" ht="15.75" customHeight="1" x14ac:dyDescent="0.3">
      <c r="A83" s="17" t="s">
        <v>69</v>
      </c>
      <c r="B83" s="13" t="s">
        <v>34</v>
      </c>
      <c r="C83" s="13" t="s">
        <v>19</v>
      </c>
      <c r="D83" s="13" t="s">
        <v>28</v>
      </c>
      <c r="E83" s="13">
        <v>1143.69</v>
      </c>
      <c r="F83" s="13">
        <v>17</v>
      </c>
      <c r="G83" s="13">
        <v>0</v>
      </c>
      <c r="H83" s="14">
        <v>45534</v>
      </c>
      <c r="I83" s="13">
        <v>400.29</v>
      </c>
      <c r="J83">
        <f t="shared" si="5"/>
        <v>-0.30918343257351205</v>
      </c>
      <c r="K83" s="22">
        <f t="shared" ca="1" si="6"/>
        <v>46134.965780555554</v>
      </c>
    </row>
    <row r="84" spans="1:11" ht="15.75" customHeight="1" x14ac:dyDescent="0.3">
      <c r="A84" s="17" t="s">
        <v>53</v>
      </c>
      <c r="B84" s="13" t="s">
        <v>51</v>
      </c>
      <c r="C84" s="13" t="s">
        <v>35</v>
      </c>
      <c r="D84" s="13" t="s">
        <v>22</v>
      </c>
      <c r="E84" s="13">
        <v>790.08</v>
      </c>
      <c r="F84" s="13">
        <v>7</v>
      </c>
      <c r="G84" s="13">
        <v>0.1</v>
      </c>
      <c r="H84" s="14">
        <v>45536</v>
      </c>
      <c r="I84" s="13">
        <v>177.77</v>
      </c>
      <c r="J84">
        <f t="shared" si="5"/>
        <v>0.35515390846496558</v>
      </c>
      <c r="K84" s="22">
        <f t="shared" ca="1" si="6"/>
        <v>46134.965780555554</v>
      </c>
    </row>
    <row r="85" spans="1:11" ht="15.75" customHeight="1" x14ac:dyDescent="0.3">
      <c r="A85" s="17" t="s">
        <v>20</v>
      </c>
      <c r="B85" s="13" t="s">
        <v>49</v>
      </c>
      <c r="C85" s="13" t="s">
        <v>35</v>
      </c>
      <c r="D85" s="13" t="s">
        <v>13</v>
      </c>
      <c r="E85" s="13">
        <v>1070.68</v>
      </c>
      <c r="F85" s="13">
        <v>7</v>
      </c>
      <c r="G85" s="13">
        <v>0.05</v>
      </c>
      <c r="H85" s="14">
        <v>45536</v>
      </c>
      <c r="I85" s="13">
        <v>406.86</v>
      </c>
      <c r="J85">
        <f t="shared" si="5"/>
        <v>9.1726753091493279E-2</v>
      </c>
      <c r="K85" s="22">
        <f t="shared" ca="1" si="6"/>
        <v>46134.965780555554</v>
      </c>
    </row>
    <row r="86" spans="1:11" ht="15.75" customHeight="1" x14ac:dyDescent="0.3">
      <c r="A86" s="17" t="s">
        <v>59</v>
      </c>
      <c r="B86" s="13" t="s">
        <v>37</v>
      </c>
      <c r="C86" s="13" t="s">
        <v>12</v>
      </c>
      <c r="D86" s="13" t="s">
        <v>16</v>
      </c>
      <c r="E86" s="13">
        <v>1168.8900000000001</v>
      </c>
      <c r="F86" s="13">
        <v>4</v>
      </c>
      <c r="G86" s="13">
        <v>0.1</v>
      </c>
      <c r="H86" s="14">
        <v>45544</v>
      </c>
      <c r="I86" s="13">
        <v>526</v>
      </c>
      <c r="J86">
        <f t="shared" si="5"/>
        <v>0.14285347637502227</v>
      </c>
      <c r="K86" s="22">
        <f t="shared" ca="1" si="6"/>
        <v>46134.965780555554</v>
      </c>
    </row>
    <row r="87" spans="1:11" ht="15.75" customHeight="1" x14ac:dyDescent="0.3">
      <c r="A87" s="17" t="s">
        <v>68</v>
      </c>
      <c r="B87" s="13" t="s">
        <v>11</v>
      </c>
      <c r="C87" s="13" t="s">
        <v>21</v>
      </c>
      <c r="D87" s="13" t="s">
        <v>22</v>
      </c>
      <c r="E87" s="13">
        <v>1335.87</v>
      </c>
      <c r="F87" s="13">
        <v>17</v>
      </c>
      <c r="G87" s="13">
        <v>0</v>
      </c>
      <c r="H87" s="14">
        <v>45544</v>
      </c>
      <c r="I87" s="13">
        <v>333.97</v>
      </c>
      <c r="J87">
        <f t="shared" si="5"/>
        <v>-0.34596929341926974</v>
      </c>
      <c r="K87" s="22">
        <f t="shared" ca="1" si="6"/>
        <v>46134.965780555554</v>
      </c>
    </row>
    <row r="88" spans="1:11" ht="15.75" customHeight="1" x14ac:dyDescent="0.3">
      <c r="A88" s="17" t="s">
        <v>41</v>
      </c>
      <c r="B88" s="13" t="s">
        <v>56</v>
      </c>
      <c r="C88" s="13" t="s">
        <v>19</v>
      </c>
      <c r="D88" s="13" t="s">
        <v>28</v>
      </c>
      <c r="E88" s="13">
        <v>873.7</v>
      </c>
      <c r="F88" s="13">
        <v>9</v>
      </c>
      <c r="G88" s="13">
        <v>0</v>
      </c>
      <c r="H88" s="14">
        <v>45546</v>
      </c>
      <c r="I88" s="13">
        <v>305.8</v>
      </c>
      <c r="J88">
        <f t="shared" si="5"/>
        <v>0.65271832436763189</v>
      </c>
      <c r="K88" s="22">
        <f t="shared" ca="1" si="6"/>
        <v>46134.965780555554</v>
      </c>
    </row>
    <row r="89" spans="1:11" ht="15.75" customHeight="1" x14ac:dyDescent="0.3">
      <c r="A89" s="17" t="s">
        <v>73</v>
      </c>
      <c r="B89" s="13" t="s">
        <v>65</v>
      </c>
      <c r="C89" s="13" t="s">
        <v>12</v>
      </c>
      <c r="D89" s="13" t="s">
        <v>40</v>
      </c>
      <c r="E89" s="13">
        <v>1443.98</v>
      </c>
      <c r="F89" s="13">
        <v>19</v>
      </c>
      <c r="G89" s="13">
        <v>0</v>
      </c>
      <c r="H89" s="14">
        <v>45547</v>
      </c>
      <c r="I89" s="13">
        <v>649.79</v>
      </c>
      <c r="J89">
        <f t="shared" si="5"/>
        <v>-0.200591420933808</v>
      </c>
      <c r="K89" s="22">
        <f t="shared" ca="1" si="6"/>
        <v>46134.965780555554</v>
      </c>
    </row>
    <row r="90" spans="1:11" ht="15.75" customHeight="1" x14ac:dyDescent="0.3">
      <c r="A90" s="17" t="s">
        <v>41</v>
      </c>
      <c r="B90" s="13" t="s">
        <v>24</v>
      </c>
      <c r="C90" s="13" t="s">
        <v>19</v>
      </c>
      <c r="D90" s="13" t="s">
        <v>40</v>
      </c>
      <c r="E90" s="13">
        <v>1154.33</v>
      </c>
      <c r="F90" s="13">
        <v>11</v>
      </c>
      <c r="G90" s="13">
        <v>0.15</v>
      </c>
      <c r="H90" s="14">
        <v>45549</v>
      </c>
      <c r="I90" s="13">
        <v>441.53</v>
      </c>
      <c r="J90">
        <f t="shared" si="5"/>
        <v>9.5431982188802236E-2</v>
      </c>
      <c r="K90" s="22">
        <f t="shared" ca="1" si="6"/>
        <v>46134.965780555554</v>
      </c>
    </row>
    <row r="91" spans="1:11" ht="15.75" customHeight="1" x14ac:dyDescent="0.3">
      <c r="A91" s="17" t="s">
        <v>50</v>
      </c>
      <c r="B91" s="13" t="s">
        <v>51</v>
      </c>
      <c r="C91" s="13" t="s">
        <v>21</v>
      </c>
      <c r="D91" s="13" t="s">
        <v>13</v>
      </c>
      <c r="E91" s="13">
        <v>1264.49</v>
      </c>
      <c r="F91" s="13">
        <v>16</v>
      </c>
      <c r="G91" s="13">
        <v>0.05</v>
      </c>
      <c r="H91" s="14">
        <v>45549</v>
      </c>
      <c r="I91" s="13">
        <v>480.51</v>
      </c>
      <c r="J91">
        <f t="shared" si="5"/>
        <v>-0.12885827487761869</v>
      </c>
      <c r="K91" s="22">
        <f t="shared" ca="1" si="6"/>
        <v>46134.965780555554</v>
      </c>
    </row>
    <row r="92" spans="1:11" ht="15.75" customHeight="1" x14ac:dyDescent="0.3">
      <c r="A92" s="17" t="s">
        <v>26</v>
      </c>
      <c r="B92" s="13" t="s">
        <v>67</v>
      </c>
      <c r="C92" s="13" t="s">
        <v>12</v>
      </c>
      <c r="D92" s="13" t="s">
        <v>28</v>
      </c>
      <c r="E92" s="13">
        <v>1101.55</v>
      </c>
      <c r="F92" s="13">
        <v>4</v>
      </c>
      <c r="G92" s="13">
        <v>0.1</v>
      </c>
      <c r="H92" s="14">
        <v>45551</v>
      </c>
      <c r="I92" s="13">
        <v>346.99</v>
      </c>
      <c r="J92">
        <f t="shared" si="5"/>
        <v>-0.33935817711406652</v>
      </c>
      <c r="K92" s="22">
        <f t="shared" ca="1" si="6"/>
        <v>46134.965780555554</v>
      </c>
    </row>
    <row r="93" spans="1:11" ht="15.75" customHeight="1" x14ac:dyDescent="0.3">
      <c r="A93" s="17" t="s">
        <v>74</v>
      </c>
      <c r="B93" s="13" t="s">
        <v>15</v>
      </c>
      <c r="C93" s="13" t="s">
        <v>21</v>
      </c>
      <c r="D93" s="13" t="s">
        <v>28</v>
      </c>
      <c r="E93" s="13">
        <v>727.73</v>
      </c>
      <c r="F93" s="13">
        <v>1</v>
      </c>
      <c r="G93" s="13">
        <v>0.1</v>
      </c>
      <c r="H93" s="14">
        <v>45552</v>
      </c>
      <c r="I93" s="13">
        <v>229.23</v>
      </c>
      <c r="J93">
        <f t="shared" si="5"/>
        <v>0.20293240624957051</v>
      </c>
      <c r="K93" s="22">
        <f t="shared" ca="1" si="6"/>
        <v>46134.965780555554</v>
      </c>
    </row>
    <row r="94" spans="1:11" ht="15.75" customHeight="1" x14ac:dyDescent="0.3">
      <c r="A94" s="17" t="s">
        <v>75</v>
      </c>
      <c r="B94" s="13" t="s">
        <v>39</v>
      </c>
      <c r="C94" s="13" t="s">
        <v>19</v>
      </c>
      <c r="D94" s="13" t="s">
        <v>40</v>
      </c>
      <c r="E94" s="13">
        <v>875.41</v>
      </c>
      <c r="F94" s="13">
        <v>13</v>
      </c>
      <c r="G94" s="13">
        <v>0.15</v>
      </c>
      <c r="H94" s="14">
        <v>45552</v>
      </c>
      <c r="I94" s="13">
        <v>334.84</v>
      </c>
      <c r="J94">
        <f t="shared" si="5"/>
        <v>0.32388252361750502</v>
      </c>
      <c r="K94" s="22">
        <f t="shared" ca="1" si="6"/>
        <v>46134.965780555554</v>
      </c>
    </row>
    <row r="95" spans="1:11" ht="15.75" customHeight="1" x14ac:dyDescent="0.3">
      <c r="A95" s="17" t="s">
        <v>68</v>
      </c>
      <c r="B95" s="13" t="s">
        <v>24</v>
      </c>
      <c r="C95" s="13" t="s">
        <v>12</v>
      </c>
      <c r="D95" s="13" t="s">
        <v>22</v>
      </c>
      <c r="E95" s="13">
        <v>1158.94</v>
      </c>
      <c r="F95" s="13">
        <v>19</v>
      </c>
      <c r="G95" s="13">
        <v>0.2</v>
      </c>
      <c r="H95" s="14">
        <v>45553</v>
      </c>
      <c r="I95" s="13">
        <v>231.79</v>
      </c>
      <c r="J95">
        <f t="shared" si="5"/>
        <v>-0.16622085699000819</v>
      </c>
      <c r="K95" s="22">
        <f t="shared" ca="1" si="6"/>
        <v>46134.965780555554</v>
      </c>
    </row>
    <row r="96" spans="1:11" ht="15.75" customHeight="1" x14ac:dyDescent="0.3">
      <c r="A96" s="17" t="s">
        <v>76</v>
      </c>
      <c r="B96" s="13" t="s">
        <v>48</v>
      </c>
      <c r="C96" s="13" t="s">
        <v>21</v>
      </c>
      <c r="D96" s="13" t="s">
        <v>13</v>
      </c>
      <c r="E96" s="13">
        <v>966.3</v>
      </c>
      <c r="F96" s="13">
        <v>2</v>
      </c>
      <c r="G96" s="13">
        <v>0.15</v>
      </c>
      <c r="H96" s="14">
        <v>45557</v>
      </c>
      <c r="I96" s="13">
        <v>328.54</v>
      </c>
      <c r="J96">
        <f t="shared" si="5"/>
        <v>-5.0522612025250893E-2</v>
      </c>
      <c r="K96" s="22">
        <f t="shared" ca="1" si="6"/>
        <v>46134.965780555554</v>
      </c>
    </row>
    <row r="97" spans="1:11" ht="15.75" customHeight="1" x14ac:dyDescent="0.3">
      <c r="A97" s="17" t="s">
        <v>69</v>
      </c>
      <c r="B97" s="13" t="s">
        <v>18</v>
      </c>
      <c r="C97" s="13" t="s">
        <v>21</v>
      </c>
      <c r="D97" s="13" t="s">
        <v>13</v>
      </c>
      <c r="E97" s="13">
        <v>917.48</v>
      </c>
      <c r="F97" s="13">
        <v>6</v>
      </c>
      <c r="G97" s="13">
        <v>0</v>
      </c>
      <c r="H97" s="14">
        <v>45558</v>
      </c>
      <c r="I97" s="13">
        <v>366.99</v>
      </c>
      <c r="J97">
        <f t="shared" si="5"/>
        <v>0.27846928543401489</v>
      </c>
      <c r="K97" s="22">
        <f t="shared" ca="1" si="6"/>
        <v>46134.965780555554</v>
      </c>
    </row>
    <row r="98" spans="1:11" ht="15.75" customHeight="1" x14ac:dyDescent="0.3">
      <c r="A98" s="17" t="s">
        <v>42</v>
      </c>
      <c r="B98" s="13" t="s">
        <v>62</v>
      </c>
      <c r="C98" s="13" t="s">
        <v>12</v>
      </c>
      <c r="D98" s="13" t="s">
        <v>28</v>
      </c>
      <c r="E98" s="13">
        <v>1172.97</v>
      </c>
      <c r="F98" s="13">
        <v>7</v>
      </c>
      <c r="G98" s="13">
        <v>0.15</v>
      </c>
      <c r="H98" s="14">
        <v>45559</v>
      </c>
      <c r="I98" s="13">
        <v>348.96</v>
      </c>
      <c r="J98">
        <f t="shared" ref="J98:J129" si="7">(E99 - E98) / E98</f>
        <v>2.8005831351185374E-2</v>
      </c>
      <c r="K98" s="22">
        <f t="shared" ref="K98:K129" ca="1" si="8">NOW()</f>
        <v>46134.965780555554</v>
      </c>
    </row>
    <row r="99" spans="1:11" ht="15.75" customHeight="1" x14ac:dyDescent="0.3">
      <c r="A99" s="17" t="s">
        <v>58</v>
      </c>
      <c r="B99" s="13" t="s">
        <v>24</v>
      </c>
      <c r="C99" s="13" t="s">
        <v>25</v>
      </c>
      <c r="D99" s="13" t="s">
        <v>16</v>
      </c>
      <c r="E99" s="13">
        <v>1205.82</v>
      </c>
      <c r="F99" s="13">
        <v>11</v>
      </c>
      <c r="G99" s="13">
        <v>0.1</v>
      </c>
      <c r="H99" s="14">
        <v>45559</v>
      </c>
      <c r="I99" s="13">
        <v>542.62</v>
      </c>
      <c r="J99">
        <f t="shared" si="7"/>
        <v>-0.31421771076943489</v>
      </c>
      <c r="K99" s="22">
        <f t="shared" ca="1" si="8"/>
        <v>46134.965780555554</v>
      </c>
    </row>
    <row r="100" spans="1:11" ht="15.75" customHeight="1" x14ac:dyDescent="0.3">
      <c r="A100" s="17" t="s">
        <v>17</v>
      </c>
      <c r="B100" s="13" t="s">
        <v>65</v>
      </c>
      <c r="C100" s="13" t="s">
        <v>12</v>
      </c>
      <c r="D100" s="13" t="s">
        <v>40</v>
      </c>
      <c r="E100" s="13">
        <v>826.93</v>
      </c>
      <c r="F100" s="13">
        <v>10</v>
      </c>
      <c r="G100" s="13">
        <v>0.2</v>
      </c>
      <c r="H100" s="14">
        <v>45564</v>
      </c>
      <c r="I100" s="13">
        <v>297.69</v>
      </c>
      <c r="J100">
        <f t="shared" si="7"/>
        <v>9.1011331067926068E-2</v>
      </c>
      <c r="K100" s="22">
        <f t="shared" ca="1" si="8"/>
        <v>46134.965780555554</v>
      </c>
    </row>
    <row r="101" spans="1:11" ht="15.75" customHeight="1" x14ac:dyDescent="0.3">
      <c r="A101" s="17" t="s">
        <v>68</v>
      </c>
      <c r="B101" s="13" t="s">
        <v>24</v>
      </c>
      <c r="C101" s="13" t="s">
        <v>35</v>
      </c>
      <c r="D101" s="13" t="s">
        <v>16</v>
      </c>
      <c r="E101" s="13">
        <v>902.19</v>
      </c>
      <c r="F101" s="13">
        <v>12</v>
      </c>
      <c r="G101" s="13">
        <v>0</v>
      </c>
      <c r="H101" s="14">
        <v>45564</v>
      </c>
      <c r="I101" s="13">
        <v>451.1</v>
      </c>
      <c r="J101">
        <f t="shared" si="7"/>
        <v>-0.35050266573559896</v>
      </c>
      <c r="K101" s="22">
        <f t="shared" ca="1" si="8"/>
        <v>46134.965780555554</v>
      </c>
    </row>
    <row r="102" spans="1:11" ht="15.75" customHeight="1" x14ac:dyDescent="0.3">
      <c r="A102" s="17" t="s">
        <v>75</v>
      </c>
      <c r="B102" s="13" t="s">
        <v>39</v>
      </c>
      <c r="C102" s="13" t="s">
        <v>25</v>
      </c>
      <c r="D102" s="13" t="s">
        <v>13</v>
      </c>
      <c r="E102" s="13">
        <v>585.97</v>
      </c>
      <c r="F102" s="13">
        <v>17</v>
      </c>
      <c r="G102" s="13">
        <v>0.1</v>
      </c>
      <c r="H102" s="14">
        <v>45565</v>
      </c>
      <c r="I102" s="13">
        <v>210.95</v>
      </c>
      <c r="J102">
        <f t="shared" si="7"/>
        <v>0.6898305373995256</v>
      </c>
      <c r="K102" s="22">
        <f t="shared" ca="1" si="8"/>
        <v>46134.965780555554</v>
      </c>
    </row>
    <row r="103" spans="1:11" ht="15.75" customHeight="1" x14ac:dyDescent="0.3">
      <c r="A103" s="17" t="s">
        <v>61</v>
      </c>
      <c r="B103" s="13" t="s">
        <v>27</v>
      </c>
      <c r="C103" s="13" t="s">
        <v>25</v>
      </c>
      <c r="D103" s="13" t="s">
        <v>16</v>
      </c>
      <c r="E103" s="13">
        <v>990.19</v>
      </c>
      <c r="F103" s="13">
        <v>8</v>
      </c>
      <c r="G103" s="13">
        <v>0.1</v>
      </c>
      <c r="H103" s="14">
        <v>45565</v>
      </c>
      <c r="I103" s="13">
        <v>445.59</v>
      </c>
      <c r="J103">
        <f t="shared" si="7"/>
        <v>2.413678182974982E-2</v>
      </c>
      <c r="K103" s="22">
        <f t="shared" ca="1" si="8"/>
        <v>46134.965780555554</v>
      </c>
    </row>
    <row r="104" spans="1:11" ht="15.75" customHeight="1" x14ac:dyDescent="0.3">
      <c r="A104" s="17" t="s">
        <v>45</v>
      </c>
      <c r="B104" s="13" t="s">
        <v>57</v>
      </c>
      <c r="C104" s="13" t="s">
        <v>35</v>
      </c>
      <c r="D104" s="13" t="s">
        <v>22</v>
      </c>
      <c r="E104" s="13">
        <v>1014.09</v>
      </c>
      <c r="F104" s="13">
        <v>13</v>
      </c>
      <c r="G104" s="13">
        <v>0.2</v>
      </c>
      <c r="H104" s="14">
        <v>45567</v>
      </c>
      <c r="I104" s="13">
        <v>202.82</v>
      </c>
      <c r="J104">
        <f t="shared" si="7"/>
        <v>-8.7566192349791502E-2</v>
      </c>
      <c r="K104" s="22">
        <f t="shared" ca="1" si="8"/>
        <v>46134.965780555554</v>
      </c>
    </row>
    <row r="105" spans="1:11" ht="15.75" customHeight="1" x14ac:dyDescent="0.3">
      <c r="A105" s="17" t="s">
        <v>14</v>
      </c>
      <c r="B105" s="13" t="s">
        <v>49</v>
      </c>
      <c r="C105" s="13" t="s">
        <v>25</v>
      </c>
      <c r="D105" s="13" t="s">
        <v>22</v>
      </c>
      <c r="E105" s="13">
        <v>925.29</v>
      </c>
      <c r="F105" s="13">
        <v>17</v>
      </c>
      <c r="G105" s="13">
        <v>0</v>
      </c>
      <c r="H105" s="14">
        <v>45570</v>
      </c>
      <c r="I105" s="13">
        <v>231.32</v>
      </c>
      <c r="J105">
        <f t="shared" si="7"/>
        <v>0.39041813917798746</v>
      </c>
      <c r="K105" s="22">
        <f t="shared" ca="1" si="8"/>
        <v>46134.965780555554</v>
      </c>
    </row>
    <row r="106" spans="1:11" ht="15.75" customHeight="1" x14ac:dyDescent="0.3">
      <c r="A106" s="17" t="s">
        <v>55</v>
      </c>
      <c r="B106" s="13" t="s">
        <v>48</v>
      </c>
      <c r="C106" s="13" t="s">
        <v>19</v>
      </c>
      <c r="D106" s="13" t="s">
        <v>28</v>
      </c>
      <c r="E106" s="13">
        <v>1286.54</v>
      </c>
      <c r="F106" s="13">
        <v>8</v>
      </c>
      <c r="G106" s="13">
        <v>0</v>
      </c>
      <c r="H106" s="14">
        <v>45575</v>
      </c>
      <c r="I106" s="13">
        <v>450.29</v>
      </c>
      <c r="J106">
        <f t="shared" si="7"/>
        <v>-0.25255336017535401</v>
      </c>
      <c r="K106" s="22">
        <f t="shared" ca="1" si="8"/>
        <v>46134.965780555554</v>
      </c>
    </row>
    <row r="107" spans="1:11" ht="15.75" customHeight="1" x14ac:dyDescent="0.3">
      <c r="A107" s="17" t="s">
        <v>38</v>
      </c>
      <c r="B107" s="13" t="s">
        <v>65</v>
      </c>
      <c r="C107" s="13" t="s">
        <v>21</v>
      </c>
      <c r="D107" s="13" t="s">
        <v>13</v>
      </c>
      <c r="E107" s="13">
        <v>961.62</v>
      </c>
      <c r="F107" s="13">
        <v>8</v>
      </c>
      <c r="G107" s="13">
        <v>0.2</v>
      </c>
      <c r="H107" s="14">
        <v>45577</v>
      </c>
      <c r="I107" s="13">
        <v>307.72000000000003</v>
      </c>
      <c r="J107">
        <f t="shared" si="7"/>
        <v>0.12429026018593634</v>
      </c>
      <c r="K107" s="22">
        <f t="shared" ca="1" si="8"/>
        <v>46134.965780555554</v>
      </c>
    </row>
    <row r="108" spans="1:11" ht="15.75" customHeight="1" x14ac:dyDescent="0.3">
      <c r="A108" s="17" t="s">
        <v>45</v>
      </c>
      <c r="B108" s="13" t="s">
        <v>24</v>
      </c>
      <c r="C108" s="13" t="s">
        <v>19</v>
      </c>
      <c r="D108" s="13" t="s">
        <v>13</v>
      </c>
      <c r="E108" s="13">
        <v>1081.1400000000001</v>
      </c>
      <c r="F108" s="13">
        <v>19</v>
      </c>
      <c r="G108" s="13">
        <v>0.15</v>
      </c>
      <c r="H108" s="14">
        <v>45577</v>
      </c>
      <c r="I108" s="13">
        <v>367.59</v>
      </c>
      <c r="J108">
        <f t="shared" si="7"/>
        <v>0.77928852877518162</v>
      </c>
      <c r="K108" s="22">
        <f t="shared" ca="1" si="8"/>
        <v>46134.965780555554</v>
      </c>
    </row>
    <row r="109" spans="1:11" ht="15.75" customHeight="1" x14ac:dyDescent="0.3">
      <c r="A109" s="17" t="s">
        <v>59</v>
      </c>
      <c r="B109" s="13" t="s">
        <v>24</v>
      </c>
      <c r="C109" s="13" t="s">
        <v>12</v>
      </c>
      <c r="D109" s="13" t="s">
        <v>16</v>
      </c>
      <c r="E109" s="13">
        <v>1923.66</v>
      </c>
      <c r="F109" s="13">
        <v>9</v>
      </c>
      <c r="G109" s="13">
        <v>0.2</v>
      </c>
      <c r="H109" s="14">
        <v>45580</v>
      </c>
      <c r="I109" s="13">
        <v>769.46</v>
      </c>
      <c r="J109">
        <f t="shared" si="7"/>
        <v>-0.62118565650894653</v>
      </c>
      <c r="K109" s="22">
        <f t="shared" ca="1" si="8"/>
        <v>46134.965780555554</v>
      </c>
    </row>
    <row r="110" spans="1:11" ht="15.75" customHeight="1" x14ac:dyDescent="0.3">
      <c r="A110" s="17" t="s">
        <v>55</v>
      </c>
      <c r="B110" s="13" t="s">
        <v>67</v>
      </c>
      <c r="C110" s="13" t="s">
        <v>35</v>
      </c>
      <c r="D110" s="13" t="s">
        <v>16</v>
      </c>
      <c r="E110" s="13">
        <v>728.71</v>
      </c>
      <c r="F110" s="13">
        <v>14</v>
      </c>
      <c r="G110" s="13">
        <v>0.1</v>
      </c>
      <c r="H110" s="14">
        <v>45581</v>
      </c>
      <c r="I110" s="13">
        <v>327.92</v>
      </c>
      <c r="J110">
        <f t="shared" si="7"/>
        <v>0.78656804490126397</v>
      </c>
      <c r="K110" s="22">
        <f t="shared" ca="1" si="8"/>
        <v>46134.965780555554</v>
      </c>
    </row>
    <row r="111" spans="1:11" ht="15.75" customHeight="1" x14ac:dyDescent="0.3">
      <c r="A111" s="17" t="s">
        <v>10</v>
      </c>
      <c r="B111" s="13" t="s">
        <v>34</v>
      </c>
      <c r="C111" s="13" t="s">
        <v>35</v>
      </c>
      <c r="D111" s="13" t="s">
        <v>16</v>
      </c>
      <c r="E111" s="13">
        <v>1301.8900000000001</v>
      </c>
      <c r="F111" s="13">
        <v>7</v>
      </c>
      <c r="G111" s="13">
        <v>0.15</v>
      </c>
      <c r="H111" s="14">
        <v>45581</v>
      </c>
      <c r="I111" s="13">
        <v>553.29999999999995</v>
      </c>
      <c r="J111">
        <f t="shared" si="7"/>
        <v>-0.24710997088847761</v>
      </c>
      <c r="K111" s="22">
        <f t="shared" ca="1" si="8"/>
        <v>46134.965780555554</v>
      </c>
    </row>
    <row r="112" spans="1:11" ht="15.75" customHeight="1" x14ac:dyDescent="0.3">
      <c r="A112" s="17" t="s">
        <v>71</v>
      </c>
      <c r="B112" s="13" t="s">
        <v>67</v>
      </c>
      <c r="C112" s="13" t="s">
        <v>19</v>
      </c>
      <c r="D112" s="13" t="s">
        <v>13</v>
      </c>
      <c r="E112" s="13">
        <v>980.18</v>
      </c>
      <c r="F112" s="13">
        <v>16</v>
      </c>
      <c r="G112" s="13">
        <v>0.1</v>
      </c>
      <c r="H112" s="14">
        <v>45582</v>
      </c>
      <c r="I112" s="13">
        <v>352.86</v>
      </c>
      <c r="J112">
        <f t="shared" si="7"/>
        <v>-0.28832459344202077</v>
      </c>
      <c r="K112" s="22">
        <f t="shared" ca="1" si="8"/>
        <v>46134.965780555554</v>
      </c>
    </row>
    <row r="113" spans="1:11" ht="15.75" customHeight="1" x14ac:dyDescent="0.3">
      <c r="A113" s="17" t="s">
        <v>75</v>
      </c>
      <c r="B113" s="13" t="s">
        <v>24</v>
      </c>
      <c r="C113" s="13" t="s">
        <v>12</v>
      </c>
      <c r="D113" s="13" t="s">
        <v>16</v>
      </c>
      <c r="E113" s="13">
        <v>697.57</v>
      </c>
      <c r="F113" s="13">
        <v>17</v>
      </c>
      <c r="G113" s="13">
        <v>0.1</v>
      </c>
      <c r="H113" s="14">
        <v>45584</v>
      </c>
      <c r="I113" s="13">
        <v>313.91000000000003</v>
      </c>
      <c r="J113">
        <f t="shared" si="7"/>
        <v>0.71109709419843148</v>
      </c>
      <c r="K113" s="22">
        <f t="shared" ca="1" si="8"/>
        <v>46134.965780555554</v>
      </c>
    </row>
    <row r="114" spans="1:11" ht="15.75" customHeight="1" x14ac:dyDescent="0.3">
      <c r="A114" s="17" t="s">
        <v>47</v>
      </c>
      <c r="B114" s="13" t="s">
        <v>72</v>
      </c>
      <c r="C114" s="13" t="s">
        <v>12</v>
      </c>
      <c r="D114" s="13" t="s">
        <v>28</v>
      </c>
      <c r="E114" s="13">
        <v>1193.6099999999999</v>
      </c>
      <c r="F114" s="13">
        <v>1</v>
      </c>
      <c r="G114" s="13">
        <v>0.15</v>
      </c>
      <c r="H114" s="14">
        <v>45584</v>
      </c>
      <c r="I114" s="13">
        <v>355.1</v>
      </c>
      <c r="J114">
        <f t="shared" si="7"/>
        <v>-0.35404361558633052</v>
      </c>
      <c r="K114" s="22">
        <f t="shared" ca="1" si="8"/>
        <v>46134.965780555554</v>
      </c>
    </row>
    <row r="115" spans="1:11" ht="15.75" customHeight="1" x14ac:dyDescent="0.3">
      <c r="A115" s="17" t="s">
        <v>33</v>
      </c>
      <c r="B115" s="13" t="s">
        <v>39</v>
      </c>
      <c r="C115" s="13" t="s">
        <v>21</v>
      </c>
      <c r="D115" s="13" t="s">
        <v>22</v>
      </c>
      <c r="E115" s="13">
        <v>771.02</v>
      </c>
      <c r="F115" s="13">
        <v>1</v>
      </c>
      <c r="G115" s="13">
        <v>0</v>
      </c>
      <c r="H115" s="14">
        <v>45585</v>
      </c>
      <c r="I115" s="13">
        <v>192.76</v>
      </c>
      <c r="J115">
        <f t="shared" si="7"/>
        <v>-0.1425773650488962</v>
      </c>
      <c r="K115" s="22">
        <f t="shared" ca="1" si="8"/>
        <v>46134.965780555554</v>
      </c>
    </row>
    <row r="116" spans="1:11" ht="15.75" customHeight="1" x14ac:dyDescent="0.3">
      <c r="A116" s="17" t="s">
        <v>68</v>
      </c>
      <c r="B116" s="13" t="s">
        <v>70</v>
      </c>
      <c r="C116" s="13" t="s">
        <v>25</v>
      </c>
      <c r="D116" s="13" t="s">
        <v>16</v>
      </c>
      <c r="E116" s="13">
        <v>661.09</v>
      </c>
      <c r="F116" s="13">
        <v>1</v>
      </c>
      <c r="G116" s="13">
        <v>0.2</v>
      </c>
      <c r="H116" s="14">
        <v>45593</v>
      </c>
      <c r="I116" s="13">
        <v>264.44</v>
      </c>
      <c r="J116">
        <f t="shared" si="7"/>
        <v>4.1961003796759912E-2</v>
      </c>
      <c r="K116" s="22">
        <f t="shared" ca="1" si="8"/>
        <v>46134.965780555554</v>
      </c>
    </row>
    <row r="117" spans="1:11" ht="15.75" customHeight="1" x14ac:dyDescent="0.3">
      <c r="A117" s="17" t="s">
        <v>14</v>
      </c>
      <c r="B117" s="13" t="s">
        <v>56</v>
      </c>
      <c r="C117" s="13" t="s">
        <v>12</v>
      </c>
      <c r="D117" s="13" t="s">
        <v>22</v>
      </c>
      <c r="E117" s="13">
        <v>688.83</v>
      </c>
      <c r="F117" s="13">
        <v>15</v>
      </c>
      <c r="G117" s="13">
        <v>0</v>
      </c>
      <c r="H117" s="14">
        <v>45595</v>
      </c>
      <c r="I117" s="13">
        <v>172.21</v>
      </c>
      <c r="J117">
        <f t="shared" si="7"/>
        <v>0.81336469085260488</v>
      </c>
      <c r="K117" s="22">
        <f t="shared" ca="1" si="8"/>
        <v>46134.965780555554</v>
      </c>
    </row>
    <row r="118" spans="1:11" ht="15.75" customHeight="1" x14ac:dyDescent="0.3">
      <c r="A118" s="17" t="s">
        <v>74</v>
      </c>
      <c r="B118" s="13" t="s">
        <v>30</v>
      </c>
      <c r="C118" s="13" t="s">
        <v>35</v>
      </c>
      <c r="D118" s="13" t="s">
        <v>13</v>
      </c>
      <c r="E118" s="13">
        <v>1249.0999999999999</v>
      </c>
      <c r="F118" s="13">
        <v>4</v>
      </c>
      <c r="G118" s="13">
        <v>0.05</v>
      </c>
      <c r="H118" s="14">
        <v>45597</v>
      </c>
      <c r="I118" s="13">
        <v>474.66</v>
      </c>
      <c r="J118">
        <f t="shared" si="7"/>
        <v>-0.18803938835961884</v>
      </c>
      <c r="K118" s="22">
        <f t="shared" ca="1" si="8"/>
        <v>46134.965780555554</v>
      </c>
    </row>
    <row r="119" spans="1:11" ht="15.75" customHeight="1" x14ac:dyDescent="0.3">
      <c r="A119" s="17" t="s">
        <v>45</v>
      </c>
      <c r="B119" s="13" t="s">
        <v>24</v>
      </c>
      <c r="C119" s="13" t="s">
        <v>19</v>
      </c>
      <c r="D119" s="13" t="s">
        <v>40</v>
      </c>
      <c r="E119" s="13">
        <v>1014.22</v>
      </c>
      <c r="F119" s="13">
        <v>14</v>
      </c>
      <c r="G119" s="13">
        <v>0.05</v>
      </c>
      <c r="H119" s="14">
        <v>45599</v>
      </c>
      <c r="I119" s="13">
        <v>433.58</v>
      </c>
      <c r="J119">
        <f t="shared" si="7"/>
        <v>-3.5889649188538841E-3</v>
      </c>
      <c r="K119" s="22">
        <f t="shared" ca="1" si="8"/>
        <v>46134.965780555554</v>
      </c>
    </row>
    <row r="120" spans="1:11" ht="15.75" customHeight="1" x14ac:dyDescent="0.3">
      <c r="A120" s="17" t="s">
        <v>55</v>
      </c>
      <c r="B120" s="13" t="s">
        <v>49</v>
      </c>
      <c r="C120" s="13" t="s">
        <v>19</v>
      </c>
      <c r="D120" s="13" t="s">
        <v>13</v>
      </c>
      <c r="E120" s="13">
        <v>1010.58</v>
      </c>
      <c r="F120" s="13">
        <v>2</v>
      </c>
      <c r="G120" s="13">
        <v>0.15</v>
      </c>
      <c r="H120" s="14">
        <v>45605</v>
      </c>
      <c r="I120" s="13">
        <v>343.6</v>
      </c>
      <c r="J120">
        <f t="shared" si="7"/>
        <v>-5.2732094440816238E-2</v>
      </c>
      <c r="K120" s="22">
        <f t="shared" ca="1" si="8"/>
        <v>46134.965780555554</v>
      </c>
    </row>
    <row r="121" spans="1:11" ht="15.75" customHeight="1" x14ac:dyDescent="0.3">
      <c r="A121" s="17" t="s">
        <v>31</v>
      </c>
      <c r="B121" s="13" t="s">
        <v>60</v>
      </c>
      <c r="C121" s="13" t="s">
        <v>25</v>
      </c>
      <c r="D121" s="13" t="s">
        <v>28</v>
      </c>
      <c r="E121" s="13">
        <v>957.29</v>
      </c>
      <c r="F121" s="13">
        <v>4</v>
      </c>
      <c r="G121" s="13">
        <v>0.05</v>
      </c>
      <c r="H121" s="14">
        <v>45605</v>
      </c>
      <c r="I121" s="13">
        <v>318.3</v>
      </c>
      <c r="J121">
        <f t="shared" si="7"/>
        <v>0.12601197129396538</v>
      </c>
      <c r="K121" s="22">
        <f t="shared" ca="1" si="8"/>
        <v>46134.965780555554</v>
      </c>
    </row>
    <row r="122" spans="1:11" ht="15.75" customHeight="1" x14ac:dyDescent="0.3">
      <c r="A122" s="17" t="s">
        <v>29</v>
      </c>
      <c r="B122" s="13" t="s">
        <v>46</v>
      </c>
      <c r="C122" s="13" t="s">
        <v>25</v>
      </c>
      <c r="D122" s="13" t="s">
        <v>28</v>
      </c>
      <c r="E122" s="13">
        <v>1077.92</v>
      </c>
      <c r="F122" s="13">
        <v>3</v>
      </c>
      <c r="G122" s="13">
        <v>0.05</v>
      </c>
      <c r="H122" s="14">
        <v>45608</v>
      </c>
      <c r="I122" s="13">
        <v>358.41</v>
      </c>
      <c r="J122">
        <f t="shared" si="7"/>
        <v>7.8939067834347551E-2</v>
      </c>
      <c r="K122" s="22">
        <f t="shared" ca="1" si="8"/>
        <v>46134.965780555554</v>
      </c>
    </row>
    <row r="123" spans="1:11" ht="15.75" customHeight="1" x14ac:dyDescent="0.3">
      <c r="A123" s="17" t="s">
        <v>53</v>
      </c>
      <c r="B123" s="13" t="s">
        <v>51</v>
      </c>
      <c r="C123" s="13" t="s">
        <v>21</v>
      </c>
      <c r="D123" s="13" t="s">
        <v>16</v>
      </c>
      <c r="E123" s="13">
        <v>1163.01</v>
      </c>
      <c r="F123" s="13">
        <v>5</v>
      </c>
      <c r="G123" s="13">
        <v>0</v>
      </c>
      <c r="H123" s="14">
        <v>45611</v>
      </c>
      <c r="I123" s="13">
        <v>581.5</v>
      </c>
      <c r="J123">
        <f t="shared" si="7"/>
        <v>-0.12764292654405382</v>
      </c>
      <c r="K123" s="22">
        <f t="shared" ca="1" si="8"/>
        <v>46134.965780555554</v>
      </c>
    </row>
    <row r="124" spans="1:11" ht="15.75" customHeight="1" x14ac:dyDescent="0.3">
      <c r="A124" s="17" t="s">
        <v>55</v>
      </c>
      <c r="B124" s="13" t="s">
        <v>46</v>
      </c>
      <c r="C124" s="13" t="s">
        <v>19</v>
      </c>
      <c r="D124" s="13" t="s">
        <v>40</v>
      </c>
      <c r="E124" s="13">
        <v>1014.56</v>
      </c>
      <c r="F124" s="13">
        <v>10</v>
      </c>
      <c r="G124" s="13">
        <v>0.1</v>
      </c>
      <c r="H124" s="14">
        <v>45612</v>
      </c>
      <c r="I124" s="13">
        <v>410.9</v>
      </c>
      <c r="J124">
        <f t="shared" si="7"/>
        <v>-0.29226462703043682</v>
      </c>
      <c r="K124" s="22">
        <f t="shared" ca="1" si="8"/>
        <v>46134.965780555554</v>
      </c>
    </row>
    <row r="125" spans="1:11" ht="15.75" customHeight="1" x14ac:dyDescent="0.3">
      <c r="A125" s="17" t="s">
        <v>10</v>
      </c>
      <c r="B125" s="13" t="s">
        <v>18</v>
      </c>
      <c r="C125" s="13" t="s">
        <v>21</v>
      </c>
      <c r="D125" s="13" t="s">
        <v>22</v>
      </c>
      <c r="E125" s="13">
        <v>718.04</v>
      </c>
      <c r="F125" s="13">
        <v>14</v>
      </c>
      <c r="G125" s="13">
        <v>0</v>
      </c>
      <c r="H125" s="14">
        <v>45613</v>
      </c>
      <c r="I125" s="13">
        <v>179.51</v>
      </c>
      <c r="J125">
        <f t="shared" si="7"/>
        <v>0.77963623196479304</v>
      </c>
      <c r="K125" s="22">
        <f t="shared" ca="1" si="8"/>
        <v>46134.965780555554</v>
      </c>
    </row>
    <row r="126" spans="1:11" ht="15.75" customHeight="1" x14ac:dyDescent="0.3">
      <c r="A126" s="17" t="s">
        <v>73</v>
      </c>
      <c r="B126" s="13" t="s">
        <v>18</v>
      </c>
      <c r="C126" s="13" t="s">
        <v>35</v>
      </c>
      <c r="D126" s="13" t="s">
        <v>16</v>
      </c>
      <c r="E126" s="13">
        <v>1277.8499999999999</v>
      </c>
      <c r="F126" s="13">
        <v>18</v>
      </c>
      <c r="G126" s="13">
        <v>0.2</v>
      </c>
      <c r="H126" s="14">
        <v>45613</v>
      </c>
      <c r="I126" s="13">
        <v>511.14</v>
      </c>
      <c r="J126">
        <f t="shared" si="7"/>
        <v>-0.44693821653558707</v>
      </c>
      <c r="K126" s="22">
        <f t="shared" ca="1" si="8"/>
        <v>46134.965780555554</v>
      </c>
    </row>
    <row r="127" spans="1:11" ht="15.75" customHeight="1" x14ac:dyDescent="0.3">
      <c r="A127" s="17" t="s">
        <v>71</v>
      </c>
      <c r="B127" s="13" t="s">
        <v>24</v>
      </c>
      <c r="C127" s="13" t="s">
        <v>25</v>
      </c>
      <c r="D127" s="13" t="s">
        <v>22</v>
      </c>
      <c r="E127" s="13">
        <v>706.73</v>
      </c>
      <c r="F127" s="13">
        <v>1</v>
      </c>
      <c r="G127" s="13">
        <v>0.15</v>
      </c>
      <c r="H127" s="14">
        <v>45613</v>
      </c>
      <c r="I127" s="13">
        <v>150.18</v>
      </c>
      <c r="J127">
        <f t="shared" si="7"/>
        <v>0.99593904319895843</v>
      </c>
      <c r="K127" s="22">
        <f t="shared" ca="1" si="8"/>
        <v>46134.965780555554</v>
      </c>
    </row>
    <row r="128" spans="1:11" ht="15.75" customHeight="1" x14ac:dyDescent="0.3">
      <c r="A128" s="17" t="s">
        <v>66</v>
      </c>
      <c r="B128" s="13" t="s">
        <v>51</v>
      </c>
      <c r="C128" s="13" t="s">
        <v>19</v>
      </c>
      <c r="D128" s="13" t="s">
        <v>22</v>
      </c>
      <c r="E128" s="13">
        <v>1410.59</v>
      </c>
      <c r="F128" s="13">
        <v>15</v>
      </c>
      <c r="G128" s="13">
        <v>0</v>
      </c>
      <c r="H128" s="14">
        <v>45615</v>
      </c>
      <c r="I128" s="13">
        <v>352.65</v>
      </c>
      <c r="J128">
        <f t="shared" si="7"/>
        <v>-4.2719713027881946E-2</v>
      </c>
      <c r="K128" s="22">
        <f t="shared" ca="1" si="8"/>
        <v>46134.965780555554</v>
      </c>
    </row>
    <row r="129" spans="1:11" ht="15.75" customHeight="1" x14ac:dyDescent="0.3">
      <c r="A129" s="17" t="s">
        <v>33</v>
      </c>
      <c r="B129" s="13" t="s">
        <v>62</v>
      </c>
      <c r="C129" s="13" t="s">
        <v>21</v>
      </c>
      <c r="D129" s="13" t="s">
        <v>28</v>
      </c>
      <c r="E129" s="13">
        <v>1350.33</v>
      </c>
      <c r="F129" s="13">
        <v>10</v>
      </c>
      <c r="G129" s="13">
        <v>0</v>
      </c>
      <c r="H129" s="14">
        <v>45615</v>
      </c>
      <c r="I129" s="13">
        <v>472.62</v>
      </c>
      <c r="J129">
        <f t="shared" si="7"/>
        <v>-0.31929232113631484</v>
      </c>
      <c r="K129" s="22">
        <f t="shared" ca="1" si="8"/>
        <v>46134.965780555554</v>
      </c>
    </row>
    <row r="130" spans="1:11" ht="15.75" customHeight="1" x14ac:dyDescent="0.3">
      <c r="A130" s="17" t="s">
        <v>42</v>
      </c>
      <c r="B130" s="13" t="s">
        <v>46</v>
      </c>
      <c r="C130" s="13" t="s">
        <v>19</v>
      </c>
      <c r="D130" s="13" t="s">
        <v>22</v>
      </c>
      <c r="E130" s="13">
        <v>919.18</v>
      </c>
      <c r="F130" s="13">
        <v>4</v>
      </c>
      <c r="G130" s="13">
        <v>0.15</v>
      </c>
      <c r="H130" s="14">
        <v>45615</v>
      </c>
      <c r="I130" s="13">
        <v>195.33</v>
      </c>
      <c r="J130">
        <f t="shared" ref="J130:J161" si="9">(E131 - E130) / E130</f>
        <v>-0.71876019930807888</v>
      </c>
      <c r="K130" s="22">
        <f t="shared" ref="K130:K161" ca="1" si="10">NOW()</f>
        <v>46134.965780555554</v>
      </c>
    </row>
    <row r="131" spans="1:11" ht="15.75" customHeight="1" x14ac:dyDescent="0.3">
      <c r="A131" s="17" t="s">
        <v>75</v>
      </c>
      <c r="B131" s="13" t="s">
        <v>24</v>
      </c>
      <c r="C131" s="13" t="s">
        <v>12</v>
      </c>
      <c r="D131" s="13" t="s">
        <v>22</v>
      </c>
      <c r="E131" s="13">
        <v>258.51</v>
      </c>
      <c r="F131" s="13">
        <v>19</v>
      </c>
      <c r="G131" s="13">
        <v>0</v>
      </c>
      <c r="H131" s="14">
        <v>45616</v>
      </c>
      <c r="I131" s="13">
        <v>64.63</v>
      </c>
      <c r="J131">
        <f t="shared" si="9"/>
        <v>3.6941317550578319</v>
      </c>
      <c r="K131" s="22">
        <f t="shared" ca="1" si="10"/>
        <v>46134.965780555554</v>
      </c>
    </row>
    <row r="132" spans="1:11" ht="15.75" customHeight="1" x14ac:dyDescent="0.3">
      <c r="A132" s="17" t="s">
        <v>64</v>
      </c>
      <c r="B132" s="13" t="s">
        <v>62</v>
      </c>
      <c r="C132" s="13" t="s">
        <v>19</v>
      </c>
      <c r="D132" s="13" t="s">
        <v>13</v>
      </c>
      <c r="E132" s="13">
        <v>1213.48</v>
      </c>
      <c r="F132" s="13">
        <v>5</v>
      </c>
      <c r="G132" s="13">
        <v>0.05</v>
      </c>
      <c r="H132" s="14">
        <v>45616</v>
      </c>
      <c r="I132" s="13">
        <v>461.12</v>
      </c>
      <c r="J132">
        <f t="shared" si="9"/>
        <v>-5.2081616507894689E-2</v>
      </c>
      <c r="K132" s="22">
        <f t="shared" ca="1" si="10"/>
        <v>46134.965780555554</v>
      </c>
    </row>
    <row r="133" spans="1:11" ht="15.75" customHeight="1" x14ac:dyDescent="0.3">
      <c r="A133" s="17" t="s">
        <v>58</v>
      </c>
      <c r="B133" s="13" t="s">
        <v>39</v>
      </c>
      <c r="C133" s="13" t="s">
        <v>35</v>
      </c>
      <c r="D133" s="13" t="s">
        <v>13</v>
      </c>
      <c r="E133" s="13">
        <v>1150.28</v>
      </c>
      <c r="F133" s="13">
        <v>8</v>
      </c>
      <c r="G133" s="13">
        <v>0.05</v>
      </c>
      <c r="H133" s="14">
        <v>45622</v>
      </c>
      <c r="I133" s="13">
        <v>437.11</v>
      </c>
      <c r="J133">
        <f t="shared" si="9"/>
        <v>-0.25769377890600548</v>
      </c>
      <c r="K133" s="22">
        <f t="shared" ca="1" si="10"/>
        <v>46134.965780555554</v>
      </c>
    </row>
    <row r="134" spans="1:11" ht="15.75" customHeight="1" x14ac:dyDescent="0.3">
      <c r="A134" s="17" t="s">
        <v>38</v>
      </c>
      <c r="B134" s="13" t="s">
        <v>72</v>
      </c>
      <c r="C134" s="13" t="s">
        <v>21</v>
      </c>
      <c r="D134" s="13" t="s">
        <v>28</v>
      </c>
      <c r="E134" s="13">
        <v>853.86</v>
      </c>
      <c r="F134" s="13">
        <v>8</v>
      </c>
      <c r="G134" s="13">
        <v>0.1</v>
      </c>
      <c r="H134" s="14">
        <v>45622</v>
      </c>
      <c r="I134" s="13">
        <v>268.97000000000003</v>
      </c>
      <c r="J134">
        <f t="shared" si="9"/>
        <v>0.24263930855175314</v>
      </c>
      <c r="K134" s="22">
        <f t="shared" ca="1" si="10"/>
        <v>46134.965780555554</v>
      </c>
    </row>
    <row r="135" spans="1:11" ht="15.75" customHeight="1" x14ac:dyDescent="0.3">
      <c r="A135" s="17" t="s">
        <v>76</v>
      </c>
      <c r="B135" s="13" t="s">
        <v>46</v>
      </c>
      <c r="C135" s="13" t="s">
        <v>21</v>
      </c>
      <c r="D135" s="13" t="s">
        <v>22</v>
      </c>
      <c r="E135" s="13">
        <v>1061.04</v>
      </c>
      <c r="F135" s="13">
        <v>1</v>
      </c>
      <c r="G135" s="13">
        <v>0</v>
      </c>
      <c r="H135" s="14">
        <v>45624</v>
      </c>
      <c r="I135" s="13">
        <v>265.26</v>
      </c>
      <c r="J135">
        <f t="shared" si="9"/>
        <v>-0.15691208625499511</v>
      </c>
      <c r="K135" s="22">
        <f t="shared" ca="1" si="10"/>
        <v>46134.965780555554</v>
      </c>
    </row>
    <row r="136" spans="1:11" ht="15.75" customHeight="1" x14ac:dyDescent="0.3">
      <c r="A136" s="17" t="s">
        <v>29</v>
      </c>
      <c r="B136" s="13" t="s">
        <v>44</v>
      </c>
      <c r="C136" s="13" t="s">
        <v>12</v>
      </c>
      <c r="D136" s="13" t="s">
        <v>22</v>
      </c>
      <c r="E136" s="13">
        <v>894.55</v>
      </c>
      <c r="F136" s="13">
        <v>19</v>
      </c>
      <c r="G136" s="13">
        <v>0.2</v>
      </c>
      <c r="H136" s="14">
        <v>45625</v>
      </c>
      <c r="I136" s="13">
        <v>178.91</v>
      </c>
      <c r="J136">
        <f t="shared" si="9"/>
        <v>-6.778827343356994E-2</v>
      </c>
      <c r="K136" s="22">
        <f t="shared" ca="1" si="10"/>
        <v>46134.965780555554</v>
      </c>
    </row>
    <row r="137" spans="1:11" ht="15.75" customHeight="1" x14ac:dyDescent="0.3">
      <c r="A137" s="17" t="s">
        <v>26</v>
      </c>
      <c r="B137" s="13" t="s">
        <v>39</v>
      </c>
      <c r="C137" s="13" t="s">
        <v>25</v>
      </c>
      <c r="D137" s="13" t="s">
        <v>40</v>
      </c>
      <c r="E137" s="13">
        <v>833.91</v>
      </c>
      <c r="F137" s="13">
        <v>3</v>
      </c>
      <c r="G137" s="13">
        <v>0.05</v>
      </c>
      <c r="H137" s="14">
        <v>45626</v>
      </c>
      <c r="I137" s="13">
        <v>356.5</v>
      </c>
      <c r="J137">
        <f t="shared" si="9"/>
        <v>-1.6452614790564826E-2</v>
      </c>
      <c r="K137" s="22">
        <f t="shared" ca="1" si="10"/>
        <v>46134.965780555554</v>
      </c>
    </row>
    <row r="138" spans="1:11" ht="15.75" customHeight="1" x14ac:dyDescent="0.3">
      <c r="A138" s="17" t="s">
        <v>59</v>
      </c>
      <c r="B138" s="13" t="s">
        <v>72</v>
      </c>
      <c r="C138" s="13" t="s">
        <v>12</v>
      </c>
      <c r="D138" s="13" t="s">
        <v>28</v>
      </c>
      <c r="E138" s="13">
        <v>820.19</v>
      </c>
      <c r="F138" s="13">
        <v>4</v>
      </c>
      <c r="G138" s="13">
        <v>0.2</v>
      </c>
      <c r="H138" s="14">
        <v>45630</v>
      </c>
      <c r="I138" s="13">
        <v>229.65</v>
      </c>
      <c r="J138">
        <f t="shared" si="9"/>
        <v>-0.37607139809068635</v>
      </c>
      <c r="K138" s="22">
        <f t="shared" ca="1" si="10"/>
        <v>46134.965780555554</v>
      </c>
    </row>
    <row r="139" spans="1:11" ht="15.75" customHeight="1" x14ac:dyDescent="0.3">
      <c r="A139" s="17" t="s">
        <v>59</v>
      </c>
      <c r="B139" s="13" t="s">
        <v>39</v>
      </c>
      <c r="C139" s="13" t="s">
        <v>35</v>
      </c>
      <c r="D139" s="13" t="s">
        <v>22</v>
      </c>
      <c r="E139" s="13">
        <v>511.74</v>
      </c>
      <c r="F139" s="13">
        <v>8</v>
      </c>
      <c r="G139" s="13">
        <v>0.05</v>
      </c>
      <c r="H139" s="14">
        <v>45631</v>
      </c>
      <c r="I139" s="13">
        <v>121.54</v>
      </c>
      <c r="J139">
        <f t="shared" si="9"/>
        <v>0.57507718763434545</v>
      </c>
      <c r="K139" s="22">
        <f t="shared" ca="1" si="10"/>
        <v>46134.965780555554</v>
      </c>
    </row>
    <row r="140" spans="1:11" ht="15.75" customHeight="1" x14ac:dyDescent="0.3">
      <c r="A140" s="17" t="s">
        <v>66</v>
      </c>
      <c r="B140" s="13" t="s">
        <v>62</v>
      </c>
      <c r="C140" s="13" t="s">
        <v>21</v>
      </c>
      <c r="D140" s="13" t="s">
        <v>28</v>
      </c>
      <c r="E140" s="13">
        <v>806.03</v>
      </c>
      <c r="F140" s="13">
        <v>19</v>
      </c>
      <c r="G140" s="13">
        <v>0.05</v>
      </c>
      <c r="H140" s="14">
        <v>45638</v>
      </c>
      <c r="I140" s="13">
        <v>268</v>
      </c>
      <c r="J140">
        <f t="shared" si="9"/>
        <v>0.77719191593365022</v>
      </c>
      <c r="K140" s="22">
        <f t="shared" ca="1" si="10"/>
        <v>46134.965780555554</v>
      </c>
    </row>
    <row r="141" spans="1:11" ht="15.75" customHeight="1" x14ac:dyDescent="0.3">
      <c r="A141" s="17" t="s">
        <v>29</v>
      </c>
      <c r="B141" s="13" t="s">
        <v>27</v>
      </c>
      <c r="C141" s="13" t="s">
        <v>35</v>
      </c>
      <c r="D141" s="13" t="s">
        <v>28</v>
      </c>
      <c r="E141" s="13">
        <v>1432.47</v>
      </c>
      <c r="F141" s="13">
        <v>16</v>
      </c>
      <c r="G141" s="13">
        <v>0.15</v>
      </c>
      <c r="H141" s="14">
        <v>45640</v>
      </c>
      <c r="I141" s="13">
        <v>426.16</v>
      </c>
      <c r="J141">
        <f t="shared" si="9"/>
        <v>3.9170104784044271E-2</v>
      </c>
      <c r="K141" s="22">
        <f t="shared" ca="1" si="10"/>
        <v>46134.965780555554</v>
      </c>
    </row>
    <row r="142" spans="1:11" ht="15.75" customHeight="1" x14ac:dyDescent="0.3">
      <c r="A142" s="17" t="s">
        <v>75</v>
      </c>
      <c r="B142" s="13" t="s">
        <v>30</v>
      </c>
      <c r="C142" s="13" t="s">
        <v>35</v>
      </c>
      <c r="D142" s="13" t="s">
        <v>22</v>
      </c>
      <c r="E142" s="13">
        <v>1488.58</v>
      </c>
      <c r="F142" s="13">
        <v>10</v>
      </c>
      <c r="G142" s="13">
        <v>0.15</v>
      </c>
      <c r="H142" s="14">
        <v>45640</v>
      </c>
      <c r="I142" s="13">
        <v>316.32</v>
      </c>
      <c r="J142">
        <f t="shared" si="9"/>
        <v>-0.17286272823764928</v>
      </c>
      <c r="K142" s="22">
        <f t="shared" ca="1" si="10"/>
        <v>46134.965780555554</v>
      </c>
    </row>
    <row r="143" spans="1:11" ht="15.75" customHeight="1" x14ac:dyDescent="0.3">
      <c r="A143" s="17" t="s">
        <v>31</v>
      </c>
      <c r="B143" s="13" t="s">
        <v>67</v>
      </c>
      <c r="C143" s="13" t="s">
        <v>19</v>
      </c>
      <c r="D143" s="13" t="s">
        <v>13</v>
      </c>
      <c r="E143" s="13">
        <v>1231.26</v>
      </c>
      <c r="F143" s="13">
        <v>9</v>
      </c>
      <c r="G143" s="13">
        <v>0</v>
      </c>
      <c r="H143" s="14">
        <v>45646</v>
      </c>
      <c r="I143" s="13">
        <v>492.5</v>
      </c>
      <c r="J143">
        <f t="shared" si="9"/>
        <v>-5.651933791400672E-2</v>
      </c>
      <c r="K143" s="22">
        <f t="shared" ca="1" si="10"/>
        <v>46134.965780555554</v>
      </c>
    </row>
    <row r="144" spans="1:11" ht="15.75" customHeight="1" x14ac:dyDescent="0.3">
      <c r="A144" s="17" t="s">
        <v>31</v>
      </c>
      <c r="B144" s="13" t="s">
        <v>44</v>
      </c>
      <c r="C144" s="13" t="s">
        <v>12</v>
      </c>
      <c r="D144" s="13" t="s">
        <v>22</v>
      </c>
      <c r="E144" s="13">
        <v>1161.67</v>
      </c>
      <c r="F144" s="13">
        <v>19</v>
      </c>
      <c r="G144" s="13">
        <v>0.2</v>
      </c>
      <c r="H144" s="14">
        <v>45647</v>
      </c>
      <c r="I144" s="13">
        <v>232.33</v>
      </c>
      <c r="J144">
        <f t="shared" si="9"/>
        <v>-0.66580009813458207</v>
      </c>
      <c r="K144" s="22">
        <f t="shared" ca="1" si="10"/>
        <v>46134.965780555554</v>
      </c>
    </row>
    <row r="145" spans="1:11" ht="15.75" customHeight="1" x14ac:dyDescent="0.3">
      <c r="A145" s="17" t="s">
        <v>50</v>
      </c>
      <c r="B145" s="13" t="s">
        <v>46</v>
      </c>
      <c r="C145" s="13" t="s">
        <v>35</v>
      </c>
      <c r="D145" s="13" t="s">
        <v>40</v>
      </c>
      <c r="E145" s="13">
        <v>388.23</v>
      </c>
      <c r="F145" s="13">
        <v>16</v>
      </c>
      <c r="G145" s="13">
        <v>0.05</v>
      </c>
      <c r="H145" s="14">
        <v>45650</v>
      </c>
      <c r="I145" s="13">
        <v>165.97</v>
      </c>
      <c r="J145">
        <f t="shared" si="9"/>
        <v>3.0940164335574272</v>
      </c>
      <c r="K145" s="22">
        <f t="shared" ca="1" si="10"/>
        <v>46134.965780555554</v>
      </c>
    </row>
    <row r="146" spans="1:11" ht="15.75" customHeight="1" x14ac:dyDescent="0.3">
      <c r="A146" s="17" t="s">
        <v>73</v>
      </c>
      <c r="B146" s="13" t="s">
        <v>32</v>
      </c>
      <c r="C146" s="13" t="s">
        <v>25</v>
      </c>
      <c r="D146" s="13" t="s">
        <v>16</v>
      </c>
      <c r="E146" s="13">
        <v>1589.42</v>
      </c>
      <c r="F146" s="13">
        <v>6</v>
      </c>
      <c r="G146" s="13">
        <v>0.15</v>
      </c>
      <c r="H146" s="14">
        <v>45651</v>
      </c>
      <c r="I146" s="13">
        <v>675.5</v>
      </c>
      <c r="J146">
        <f t="shared" si="9"/>
        <v>-0.78818688578223495</v>
      </c>
      <c r="K146" s="22">
        <f t="shared" ca="1" si="10"/>
        <v>46134.965780555554</v>
      </c>
    </row>
    <row r="147" spans="1:11" ht="15.75" customHeight="1" x14ac:dyDescent="0.3">
      <c r="A147" s="17" t="s">
        <v>29</v>
      </c>
      <c r="B147" s="13" t="s">
        <v>72</v>
      </c>
      <c r="C147" s="13" t="s">
        <v>25</v>
      </c>
      <c r="D147" s="13" t="s">
        <v>16</v>
      </c>
      <c r="E147" s="13">
        <v>336.66</v>
      </c>
      <c r="F147" s="13">
        <v>13</v>
      </c>
      <c r="G147" s="13">
        <v>0.2</v>
      </c>
      <c r="H147" s="14">
        <v>45651</v>
      </c>
      <c r="I147" s="13">
        <v>134.66</v>
      </c>
      <c r="J147">
        <f t="shared" si="9"/>
        <v>3.0212380443177085</v>
      </c>
      <c r="K147" s="22">
        <f t="shared" ca="1" si="10"/>
        <v>46134.965780555554</v>
      </c>
    </row>
    <row r="148" spans="1:11" ht="15.75" customHeight="1" x14ac:dyDescent="0.3">
      <c r="A148" s="17" t="s">
        <v>50</v>
      </c>
      <c r="B148" s="13" t="s">
        <v>24</v>
      </c>
      <c r="C148" s="13" t="s">
        <v>12</v>
      </c>
      <c r="D148" s="13" t="s">
        <v>13</v>
      </c>
      <c r="E148" s="13">
        <v>1353.79</v>
      </c>
      <c r="F148" s="13">
        <v>14</v>
      </c>
      <c r="G148" s="13">
        <v>0.1</v>
      </c>
      <c r="H148" s="14">
        <v>45656</v>
      </c>
      <c r="I148" s="13">
        <v>487.36</v>
      </c>
      <c r="J148">
        <f t="shared" si="9"/>
        <v>-0.51055185811684234</v>
      </c>
      <c r="K148" s="22">
        <f t="shared" ca="1" si="10"/>
        <v>46134.965780555554</v>
      </c>
    </row>
    <row r="149" spans="1:11" ht="15.75" customHeight="1" x14ac:dyDescent="0.3">
      <c r="A149" s="17" t="s">
        <v>64</v>
      </c>
      <c r="B149" s="13" t="s">
        <v>70</v>
      </c>
      <c r="C149" s="13" t="s">
        <v>35</v>
      </c>
      <c r="D149" s="13" t="s">
        <v>16</v>
      </c>
      <c r="E149" s="13">
        <v>662.61</v>
      </c>
      <c r="F149" s="13">
        <v>11</v>
      </c>
      <c r="G149" s="13">
        <v>0.05</v>
      </c>
      <c r="H149" s="14">
        <v>45658</v>
      </c>
      <c r="I149" s="13">
        <v>314.74</v>
      </c>
      <c r="J149">
        <f t="shared" si="9"/>
        <v>-0.53302847829039701</v>
      </c>
      <c r="K149" s="22">
        <f t="shared" ca="1" si="10"/>
        <v>46134.965780555554</v>
      </c>
    </row>
    <row r="150" spans="1:11" ht="15.75" customHeight="1" x14ac:dyDescent="0.3">
      <c r="A150" s="17" t="s">
        <v>53</v>
      </c>
      <c r="B150" s="13" t="s">
        <v>49</v>
      </c>
      <c r="C150" s="13" t="s">
        <v>25</v>
      </c>
      <c r="D150" s="13" t="s">
        <v>40</v>
      </c>
      <c r="E150" s="13">
        <v>309.42</v>
      </c>
      <c r="F150" s="13">
        <v>1</v>
      </c>
      <c r="G150" s="13">
        <v>0.2</v>
      </c>
      <c r="H150" s="14">
        <v>45658</v>
      </c>
      <c r="I150" s="13">
        <v>111.39</v>
      </c>
      <c r="J150">
        <f t="shared" si="9"/>
        <v>1.8589942473014027</v>
      </c>
      <c r="K150" s="22">
        <f t="shared" ca="1" si="10"/>
        <v>46134.965780555554</v>
      </c>
    </row>
    <row r="151" spans="1:11" ht="15.75" customHeight="1" x14ac:dyDescent="0.3">
      <c r="A151" s="17" t="s">
        <v>64</v>
      </c>
      <c r="B151" s="13" t="s">
        <v>30</v>
      </c>
      <c r="C151" s="13" t="s">
        <v>25</v>
      </c>
      <c r="D151" s="13" t="s">
        <v>13</v>
      </c>
      <c r="E151" s="13">
        <v>884.63</v>
      </c>
      <c r="F151" s="13">
        <v>18</v>
      </c>
      <c r="G151" s="13">
        <v>0.1</v>
      </c>
      <c r="H151" s="14">
        <v>45659</v>
      </c>
      <c r="I151" s="13">
        <v>318.47000000000003</v>
      </c>
      <c r="J151">
        <f t="shared" si="9"/>
        <v>-0.15778348009902449</v>
      </c>
      <c r="K151" s="22">
        <f t="shared" ca="1" si="10"/>
        <v>46134.965780555554</v>
      </c>
    </row>
    <row r="152" spans="1:11" ht="15.75" customHeight="1" x14ac:dyDescent="0.3">
      <c r="A152" s="17" t="s">
        <v>53</v>
      </c>
      <c r="B152" s="13" t="s">
        <v>24</v>
      </c>
      <c r="C152" s="13" t="s">
        <v>35</v>
      </c>
      <c r="D152" s="13" t="s">
        <v>40</v>
      </c>
      <c r="E152" s="13">
        <v>745.05</v>
      </c>
      <c r="F152" s="13">
        <v>10</v>
      </c>
      <c r="G152" s="13">
        <v>0.1</v>
      </c>
      <c r="H152" s="14">
        <v>45660</v>
      </c>
      <c r="I152" s="13">
        <v>301.75</v>
      </c>
      <c r="J152">
        <f t="shared" si="9"/>
        <v>0.16801556942487092</v>
      </c>
      <c r="K152" s="22">
        <f t="shared" ca="1" si="10"/>
        <v>46134.965780555554</v>
      </c>
    </row>
    <row r="153" spans="1:11" ht="15.75" customHeight="1" x14ac:dyDescent="0.3">
      <c r="A153" s="17" t="s">
        <v>61</v>
      </c>
      <c r="B153" s="13" t="s">
        <v>18</v>
      </c>
      <c r="C153" s="13" t="s">
        <v>21</v>
      </c>
      <c r="D153" s="13" t="s">
        <v>16</v>
      </c>
      <c r="E153" s="13">
        <v>870.23</v>
      </c>
      <c r="F153" s="13">
        <v>5</v>
      </c>
      <c r="G153" s="13">
        <v>0.05</v>
      </c>
      <c r="H153" s="14">
        <v>45660</v>
      </c>
      <c r="I153" s="13">
        <v>413.36</v>
      </c>
      <c r="J153">
        <f t="shared" si="9"/>
        <v>-9.2389368327912887E-3</v>
      </c>
      <c r="K153" s="22">
        <f t="shared" ca="1" si="10"/>
        <v>46134.965780555554</v>
      </c>
    </row>
    <row r="154" spans="1:11" ht="15.75" customHeight="1" x14ac:dyDescent="0.3">
      <c r="A154" s="17" t="s">
        <v>36</v>
      </c>
      <c r="B154" s="13" t="s">
        <v>30</v>
      </c>
      <c r="C154" s="13" t="s">
        <v>12</v>
      </c>
      <c r="D154" s="13" t="s">
        <v>28</v>
      </c>
      <c r="E154" s="13">
        <v>862.19</v>
      </c>
      <c r="F154" s="13">
        <v>18</v>
      </c>
      <c r="G154" s="13">
        <v>0.05</v>
      </c>
      <c r="H154" s="14">
        <v>45663</v>
      </c>
      <c r="I154" s="13">
        <v>286.68</v>
      </c>
      <c r="J154">
        <f t="shared" si="9"/>
        <v>0.3583780837170461</v>
      </c>
      <c r="K154" s="22">
        <f t="shared" ca="1" si="10"/>
        <v>46134.965780555554</v>
      </c>
    </row>
    <row r="155" spans="1:11" ht="15.75" customHeight="1" x14ac:dyDescent="0.3">
      <c r="A155" s="17" t="s">
        <v>74</v>
      </c>
      <c r="B155" s="13" t="s">
        <v>60</v>
      </c>
      <c r="C155" s="13" t="s">
        <v>25</v>
      </c>
      <c r="D155" s="13" t="s">
        <v>16</v>
      </c>
      <c r="E155" s="13">
        <v>1171.18</v>
      </c>
      <c r="F155" s="13">
        <v>19</v>
      </c>
      <c r="G155" s="13">
        <v>0.05</v>
      </c>
      <c r="H155" s="14">
        <v>45667</v>
      </c>
      <c r="I155" s="13">
        <v>556.30999999999995</v>
      </c>
      <c r="J155">
        <f t="shared" si="9"/>
        <v>-9.9574787820830374E-2</v>
      </c>
      <c r="K155" s="22">
        <f t="shared" ca="1" si="10"/>
        <v>46134.965780555554</v>
      </c>
    </row>
    <row r="156" spans="1:11" ht="15.75" customHeight="1" x14ac:dyDescent="0.3">
      <c r="A156" s="17" t="s">
        <v>59</v>
      </c>
      <c r="B156" s="13" t="s">
        <v>15</v>
      </c>
      <c r="C156" s="13" t="s">
        <v>21</v>
      </c>
      <c r="D156" s="13" t="s">
        <v>28</v>
      </c>
      <c r="E156" s="13">
        <v>1054.56</v>
      </c>
      <c r="F156" s="13">
        <v>11</v>
      </c>
      <c r="G156" s="13">
        <v>0.1</v>
      </c>
      <c r="H156" s="14">
        <v>45669</v>
      </c>
      <c r="I156" s="13">
        <v>332.19</v>
      </c>
      <c r="J156">
        <f t="shared" si="9"/>
        <v>0.59422887270520419</v>
      </c>
      <c r="K156" s="22">
        <f t="shared" ca="1" si="10"/>
        <v>46134.965780555554</v>
      </c>
    </row>
    <row r="157" spans="1:11" ht="15.75" customHeight="1" x14ac:dyDescent="0.3">
      <c r="A157" s="17" t="s">
        <v>59</v>
      </c>
      <c r="B157" s="13" t="s">
        <v>24</v>
      </c>
      <c r="C157" s="13" t="s">
        <v>25</v>
      </c>
      <c r="D157" s="13" t="s">
        <v>22</v>
      </c>
      <c r="E157" s="13">
        <v>1681.21</v>
      </c>
      <c r="F157" s="13">
        <v>5</v>
      </c>
      <c r="G157" s="13">
        <v>0.2</v>
      </c>
      <c r="H157" s="14">
        <v>45670</v>
      </c>
      <c r="I157" s="13">
        <v>336.24</v>
      </c>
      <c r="J157">
        <f t="shared" si="9"/>
        <v>-0.77410912378584473</v>
      </c>
      <c r="K157" s="22">
        <f t="shared" ca="1" si="10"/>
        <v>46134.965780555554</v>
      </c>
    </row>
    <row r="158" spans="1:11" ht="15.75" customHeight="1" x14ac:dyDescent="0.3">
      <c r="A158" s="17" t="s">
        <v>59</v>
      </c>
      <c r="B158" s="13" t="s">
        <v>37</v>
      </c>
      <c r="C158" s="13" t="s">
        <v>12</v>
      </c>
      <c r="D158" s="13" t="s">
        <v>16</v>
      </c>
      <c r="E158" s="13">
        <v>379.77</v>
      </c>
      <c r="F158" s="13">
        <v>9</v>
      </c>
      <c r="G158" s="13">
        <v>0.05</v>
      </c>
      <c r="H158" s="14">
        <v>45673</v>
      </c>
      <c r="I158" s="13">
        <v>180.39</v>
      </c>
      <c r="J158">
        <f t="shared" si="9"/>
        <v>1.8341627827369196</v>
      </c>
      <c r="K158" s="22">
        <f t="shared" ca="1" si="10"/>
        <v>46134.965780555554</v>
      </c>
    </row>
    <row r="159" spans="1:11" ht="15.75" customHeight="1" x14ac:dyDescent="0.3">
      <c r="A159" s="17" t="s">
        <v>45</v>
      </c>
      <c r="B159" s="13" t="s">
        <v>46</v>
      </c>
      <c r="C159" s="13" t="s">
        <v>35</v>
      </c>
      <c r="D159" s="13" t="s">
        <v>16</v>
      </c>
      <c r="E159" s="13">
        <v>1076.33</v>
      </c>
      <c r="F159" s="13">
        <v>2</v>
      </c>
      <c r="G159" s="13">
        <v>0.1</v>
      </c>
      <c r="H159" s="14">
        <v>45674</v>
      </c>
      <c r="I159" s="13">
        <v>484.35</v>
      </c>
      <c r="J159">
        <f t="shared" si="9"/>
        <v>0.16201350886809818</v>
      </c>
      <c r="K159" s="22">
        <f t="shared" ca="1" si="10"/>
        <v>46134.965780555554</v>
      </c>
    </row>
    <row r="160" spans="1:11" ht="15.75" customHeight="1" x14ac:dyDescent="0.3">
      <c r="A160" s="17" t="s">
        <v>45</v>
      </c>
      <c r="B160" s="13" t="s">
        <v>32</v>
      </c>
      <c r="C160" s="13" t="s">
        <v>35</v>
      </c>
      <c r="D160" s="13" t="s">
        <v>40</v>
      </c>
      <c r="E160" s="13">
        <v>1250.71</v>
      </c>
      <c r="F160" s="13">
        <v>7</v>
      </c>
      <c r="G160" s="13">
        <v>0</v>
      </c>
      <c r="H160" s="14">
        <v>45674</v>
      </c>
      <c r="I160" s="13">
        <v>562.82000000000005</v>
      </c>
      <c r="J160">
        <f t="shared" si="9"/>
        <v>-0.10583588521719672</v>
      </c>
      <c r="K160" s="22">
        <f t="shared" ca="1" si="10"/>
        <v>46134.965780555554</v>
      </c>
    </row>
    <row r="161" spans="1:11" ht="15.75" customHeight="1" x14ac:dyDescent="0.3">
      <c r="A161" s="17" t="s">
        <v>41</v>
      </c>
      <c r="B161" s="13" t="s">
        <v>18</v>
      </c>
      <c r="C161" s="13" t="s">
        <v>21</v>
      </c>
      <c r="D161" s="13" t="s">
        <v>16</v>
      </c>
      <c r="E161" s="13">
        <v>1118.3399999999999</v>
      </c>
      <c r="F161" s="13">
        <v>6</v>
      </c>
      <c r="G161" s="13">
        <v>0.2</v>
      </c>
      <c r="H161" s="14">
        <v>45674</v>
      </c>
      <c r="I161" s="13">
        <v>447.34</v>
      </c>
      <c r="J161">
        <f t="shared" si="9"/>
        <v>0.45091832537510956</v>
      </c>
      <c r="K161" s="22">
        <f t="shared" ca="1" si="10"/>
        <v>46134.965780555554</v>
      </c>
    </row>
    <row r="162" spans="1:11" ht="15.75" customHeight="1" x14ac:dyDescent="0.3">
      <c r="A162" s="17" t="s">
        <v>71</v>
      </c>
      <c r="B162" s="13" t="s">
        <v>54</v>
      </c>
      <c r="C162" s="13" t="s">
        <v>25</v>
      </c>
      <c r="D162" s="13" t="s">
        <v>16</v>
      </c>
      <c r="E162" s="13">
        <v>1622.62</v>
      </c>
      <c r="F162" s="13">
        <v>12</v>
      </c>
      <c r="G162" s="13">
        <v>0.2</v>
      </c>
      <c r="H162" s="14">
        <v>45677</v>
      </c>
      <c r="I162" s="13">
        <v>649.04999999999995</v>
      </c>
      <c r="J162">
        <f t="shared" ref="J162:J193" si="11">(E163 - E162) / E162</f>
        <v>-0.60518174310682726</v>
      </c>
      <c r="K162" s="22">
        <f t="shared" ref="K162:K193" ca="1" si="12">NOW()</f>
        <v>46134.965780555554</v>
      </c>
    </row>
    <row r="163" spans="1:11" ht="15.75" customHeight="1" x14ac:dyDescent="0.3">
      <c r="A163" s="17" t="s">
        <v>76</v>
      </c>
      <c r="B163" s="13" t="s">
        <v>49</v>
      </c>
      <c r="C163" s="13" t="s">
        <v>25</v>
      </c>
      <c r="D163" s="13" t="s">
        <v>13</v>
      </c>
      <c r="E163" s="13">
        <v>640.64</v>
      </c>
      <c r="F163" s="13">
        <v>11</v>
      </c>
      <c r="G163" s="13">
        <v>0.2</v>
      </c>
      <c r="H163" s="14">
        <v>45678</v>
      </c>
      <c r="I163" s="13">
        <v>205</v>
      </c>
      <c r="J163">
        <f t="shared" si="11"/>
        <v>-8.6600899100899131E-2</v>
      </c>
      <c r="K163" s="22">
        <f t="shared" ca="1" si="12"/>
        <v>46134.965780555554</v>
      </c>
    </row>
    <row r="164" spans="1:11" ht="15.75" customHeight="1" x14ac:dyDescent="0.3">
      <c r="A164" s="17" t="s">
        <v>23</v>
      </c>
      <c r="B164" s="13" t="s">
        <v>44</v>
      </c>
      <c r="C164" s="13" t="s">
        <v>12</v>
      </c>
      <c r="D164" s="13" t="s">
        <v>16</v>
      </c>
      <c r="E164" s="13">
        <v>585.16</v>
      </c>
      <c r="F164" s="13">
        <v>17</v>
      </c>
      <c r="G164" s="13">
        <v>0.1</v>
      </c>
      <c r="H164" s="14">
        <v>45684</v>
      </c>
      <c r="I164" s="13">
        <v>263.32</v>
      </c>
      <c r="J164">
        <f t="shared" si="11"/>
        <v>0.8968829038211773</v>
      </c>
      <c r="K164" s="22">
        <f t="shared" ca="1" si="12"/>
        <v>46134.965780555554</v>
      </c>
    </row>
    <row r="165" spans="1:11" ht="15.75" customHeight="1" x14ac:dyDescent="0.3">
      <c r="A165" s="17" t="s">
        <v>23</v>
      </c>
      <c r="B165" s="13" t="s">
        <v>32</v>
      </c>
      <c r="C165" s="13" t="s">
        <v>19</v>
      </c>
      <c r="D165" s="13" t="s">
        <v>16</v>
      </c>
      <c r="E165" s="13">
        <v>1109.98</v>
      </c>
      <c r="F165" s="13">
        <v>5</v>
      </c>
      <c r="G165" s="13">
        <v>0.2</v>
      </c>
      <c r="H165" s="14">
        <v>45690</v>
      </c>
      <c r="I165" s="13">
        <v>443.99</v>
      </c>
      <c r="J165">
        <f t="shared" si="11"/>
        <v>-1.0720913890340448E-2</v>
      </c>
      <c r="K165" s="22">
        <f t="shared" ca="1" si="12"/>
        <v>46134.965780555554</v>
      </c>
    </row>
    <row r="166" spans="1:11" ht="15.75" customHeight="1" x14ac:dyDescent="0.3">
      <c r="A166" s="17" t="s">
        <v>59</v>
      </c>
      <c r="B166" s="13" t="s">
        <v>46</v>
      </c>
      <c r="C166" s="13" t="s">
        <v>19</v>
      </c>
      <c r="D166" s="13" t="s">
        <v>13</v>
      </c>
      <c r="E166" s="13">
        <v>1098.08</v>
      </c>
      <c r="F166" s="13">
        <v>9</v>
      </c>
      <c r="G166" s="13">
        <v>0.1</v>
      </c>
      <c r="H166" s="14">
        <v>45692</v>
      </c>
      <c r="I166" s="13">
        <v>395.31</v>
      </c>
      <c r="J166">
        <f t="shared" si="11"/>
        <v>-0.24663958910097619</v>
      </c>
      <c r="K166" s="22">
        <f t="shared" ca="1" si="12"/>
        <v>46134.965780555554</v>
      </c>
    </row>
    <row r="167" spans="1:11" ht="15.75" customHeight="1" x14ac:dyDescent="0.3">
      <c r="A167" s="17" t="s">
        <v>66</v>
      </c>
      <c r="B167" s="13" t="s">
        <v>49</v>
      </c>
      <c r="C167" s="13" t="s">
        <v>12</v>
      </c>
      <c r="D167" s="13" t="s">
        <v>40</v>
      </c>
      <c r="E167" s="13">
        <v>827.25</v>
      </c>
      <c r="F167" s="13">
        <v>7</v>
      </c>
      <c r="G167" s="13">
        <v>0.1</v>
      </c>
      <c r="H167" s="14">
        <v>45693</v>
      </c>
      <c r="I167" s="13">
        <v>335.04</v>
      </c>
      <c r="J167">
        <f t="shared" si="11"/>
        <v>-0.10319734058627984</v>
      </c>
      <c r="K167" s="22">
        <f t="shared" ca="1" si="12"/>
        <v>46134.965780555554</v>
      </c>
    </row>
    <row r="168" spans="1:11" ht="15.75" customHeight="1" x14ac:dyDescent="0.3">
      <c r="A168" s="17" t="s">
        <v>71</v>
      </c>
      <c r="B168" s="13" t="s">
        <v>30</v>
      </c>
      <c r="C168" s="13" t="s">
        <v>35</v>
      </c>
      <c r="D168" s="13" t="s">
        <v>16</v>
      </c>
      <c r="E168" s="13">
        <v>741.88</v>
      </c>
      <c r="F168" s="13">
        <v>16</v>
      </c>
      <c r="G168" s="13">
        <v>0.1</v>
      </c>
      <c r="H168" s="14">
        <v>45695</v>
      </c>
      <c r="I168" s="13">
        <v>333.85</v>
      </c>
      <c r="J168">
        <f t="shared" si="11"/>
        <v>0.76748261174313903</v>
      </c>
      <c r="K168" s="22">
        <f t="shared" ca="1" si="12"/>
        <v>46134.965780555554</v>
      </c>
    </row>
    <row r="169" spans="1:11" ht="15.75" customHeight="1" x14ac:dyDescent="0.3">
      <c r="A169" s="17" t="s">
        <v>73</v>
      </c>
      <c r="B169" s="13" t="s">
        <v>11</v>
      </c>
      <c r="C169" s="13" t="s">
        <v>19</v>
      </c>
      <c r="D169" s="13" t="s">
        <v>40</v>
      </c>
      <c r="E169" s="13">
        <v>1311.26</v>
      </c>
      <c r="F169" s="13">
        <v>6</v>
      </c>
      <c r="G169" s="13">
        <v>0.1</v>
      </c>
      <c r="H169" s="14">
        <v>45698</v>
      </c>
      <c r="I169" s="13">
        <v>531.05999999999995</v>
      </c>
      <c r="J169">
        <f t="shared" si="11"/>
        <v>-0.56277168524930221</v>
      </c>
      <c r="K169" s="22">
        <f t="shared" ca="1" si="12"/>
        <v>46134.965780555554</v>
      </c>
    </row>
    <row r="170" spans="1:11" ht="15.75" customHeight="1" x14ac:dyDescent="0.3">
      <c r="A170" s="17" t="s">
        <v>73</v>
      </c>
      <c r="B170" s="13" t="s">
        <v>32</v>
      </c>
      <c r="C170" s="13" t="s">
        <v>21</v>
      </c>
      <c r="D170" s="13" t="s">
        <v>40</v>
      </c>
      <c r="E170" s="13">
        <v>573.32000000000005</v>
      </c>
      <c r="F170" s="13">
        <v>19</v>
      </c>
      <c r="G170" s="13">
        <v>0.1</v>
      </c>
      <c r="H170" s="14">
        <v>45703</v>
      </c>
      <c r="I170" s="13">
        <v>232.19</v>
      </c>
      <c r="J170">
        <f t="shared" si="11"/>
        <v>0.94519639991627702</v>
      </c>
      <c r="K170" s="22">
        <f t="shared" ca="1" si="12"/>
        <v>46134.965780555554</v>
      </c>
    </row>
    <row r="171" spans="1:11" ht="15.75" customHeight="1" x14ac:dyDescent="0.3">
      <c r="A171" s="17" t="s">
        <v>53</v>
      </c>
      <c r="B171" s="13" t="s">
        <v>24</v>
      </c>
      <c r="C171" s="13" t="s">
        <v>12</v>
      </c>
      <c r="D171" s="13" t="s">
        <v>22</v>
      </c>
      <c r="E171" s="13">
        <v>1115.22</v>
      </c>
      <c r="F171" s="13">
        <v>14</v>
      </c>
      <c r="G171" s="13">
        <v>0.2</v>
      </c>
      <c r="H171" s="14">
        <v>45705</v>
      </c>
      <c r="I171" s="13">
        <v>223.04</v>
      </c>
      <c r="J171">
        <f t="shared" si="11"/>
        <v>-0.24154875271246928</v>
      </c>
      <c r="K171" s="22">
        <f t="shared" ca="1" si="12"/>
        <v>46134.965780555554</v>
      </c>
    </row>
    <row r="172" spans="1:11" ht="15.75" customHeight="1" x14ac:dyDescent="0.3">
      <c r="A172" s="17" t="s">
        <v>14</v>
      </c>
      <c r="B172" s="13" t="s">
        <v>46</v>
      </c>
      <c r="C172" s="13" t="s">
        <v>25</v>
      </c>
      <c r="D172" s="13" t="s">
        <v>16</v>
      </c>
      <c r="E172" s="13">
        <v>845.84</v>
      </c>
      <c r="F172" s="13">
        <v>4</v>
      </c>
      <c r="G172" s="13">
        <v>0</v>
      </c>
      <c r="H172" s="14">
        <v>45707</v>
      </c>
      <c r="I172" s="13">
        <v>422.92</v>
      </c>
      <c r="J172">
        <f t="shared" si="11"/>
        <v>0.21748794098174587</v>
      </c>
      <c r="K172" s="22">
        <f t="shared" ca="1" si="12"/>
        <v>46134.965780555554</v>
      </c>
    </row>
    <row r="173" spans="1:11" ht="15.75" customHeight="1" x14ac:dyDescent="0.3">
      <c r="A173" s="17" t="s">
        <v>31</v>
      </c>
      <c r="B173" s="13" t="s">
        <v>56</v>
      </c>
      <c r="C173" s="13" t="s">
        <v>12</v>
      </c>
      <c r="D173" s="13" t="s">
        <v>22</v>
      </c>
      <c r="E173" s="13">
        <v>1029.8</v>
      </c>
      <c r="F173" s="13">
        <v>3</v>
      </c>
      <c r="G173" s="13">
        <v>0</v>
      </c>
      <c r="H173" s="14">
        <v>45708</v>
      </c>
      <c r="I173" s="13">
        <v>257.45</v>
      </c>
      <c r="J173">
        <f t="shared" si="11"/>
        <v>0.15539910662264517</v>
      </c>
      <c r="K173" s="22">
        <f t="shared" ca="1" si="12"/>
        <v>46134.965780555554</v>
      </c>
    </row>
    <row r="174" spans="1:11" ht="15.75" customHeight="1" x14ac:dyDescent="0.3">
      <c r="A174" s="17" t="s">
        <v>33</v>
      </c>
      <c r="B174" s="13" t="s">
        <v>32</v>
      </c>
      <c r="C174" s="13" t="s">
        <v>25</v>
      </c>
      <c r="D174" s="13" t="s">
        <v>13</v>
      </c>
      <c r="E174" s="13">
        <v>1189.83</v>
      </c>
      <c r="F174" s="13">
        <v>2</v>
      </c>
      <c r="G174" s="13">
        <v>0.2</v>
      </c>
      <c r="H174" s="14">
        <v>45709</v>
      </c>
      <c r="I174" s="13">
        <v>380.75</v>
      </c>
      <c r="J174">
        <f t="shared" si="11"/>
        <v>-0.40808350772799473</v>
      </c>
      <c r="K174" s="22">
        <f t="shared" ca="1" si="12"/>
        <v>46134.965780555554</v>
      </c>
    </row>
    <row r="175" spans="1:11" ht="15.75" customHeight="1" x14ac:dyDescent="0.3">
      <c r="A175" s="17" t="s">
        <v>68</v>
      </c>
      <c r="B175" s="13" t="s">
        <v>44</v>
      </c>
      <c r="C175" s="13" t="s">
        <v>21</v>
      </c>
      <c r="D175" s="13" t="s">
        <v>13</v>
      </c>
      <c r="E175" s="13">
        <v>704.28</v>
      </c>
      <c r="F175" s="13">
        <v>15</v>
      </c>
      <c r="G175" s="13">
        <v>0.2</v>
      </c>
      <c r="H175" s="14">
        <v>45712</v>
      </c>
      <c r="I175" s="13">
        <v>225.37</v>
      </c>
      <c r="J175">
        <f t="shared" si="11"/>
        <v>1.2976940989379226</v>
      </c>
      <c r="K175" s="22">
        <f t="shared" ca="1" si="12"/>
        <v>46134.965780555554</v>
      </c>
    </row>
    <row r="176" spans="1:11" ht="15.75" customHeight="1" x14ac:dyDescent="0.3">
      <c r="A176" s="17" t="s">
        <v>66</v>
      </c>
      <c r="B176" s="13" t="s">
        <v>48</v>
      </c>
      <c r="C176" s="13" t="s">
        <v>35</v>
      </c>
      <c r="D176" s="13" t="s">
        <v>40</v>
      </c>
      <c r="E176" s="13">
        <v>1618.22</v>
      </c>
      <c r="F176" s="13">
        <v>12</v>
      </c>
      <c r="G176" s="13">
        <v>0.2</v>
      </c>
      <c r="H176" s="14">
        <v>45712</v>
      </c>
      <c r="I176" s="13">
        <v>582.55999999999995</v>
      </c>
      <c r="J176">
        <f t="shared" si="11"/>
        <v>-0.37311984773392992</v>
      </c>
      <c r="K176" s="22">
        <f t="shared" ca="1" si="12"/>
        <v>46134.965780555554</v>
      </c>
    </row>
    <row r="177" spans="1:11" ht="15.75" customHeight="1" x14ac:dyDescent="0.3">
      <c r="A177" s="17" t="s">
        <v>74</v>
      </c>
      <c r="B177" s="13" t="s">
        <v>54</v>
      </c>
      <c r="C177" s="13" t="s">
        <v>35</v>
      </c>
      <c r="D177" s="13" t="s">
        <v>13</v>
      </c>
      <c r="E177" s="13">
        <v>1014.43</v>
      </c>
      <c r="F177" s="13">
        <v>2</v>
      </c>
      <c r="G177" s="13">
        <v>0.15</v>
      </c>
      <c r="H177" s="14">
        <v>45713</v>
      </c>
      <c r="I177" s="13">
        <v>344.91</v>
      </c>
      <c r="J177">
        <f t="shared" si="11"/>
        <v>-0.1847934307936476</v>
      </c>
      <c r="K177" s="22">
        <f t="shared" ca="1" si="12"/>
        <v>46134.965780555554</v>
      </c>
    </row>
    <row r="178" spans="1:11" ht="15.75" customHeight="1" x14ac:dyDescent="0.3">
      <c r="A178" s="17" t="s">
        <v>76</v>
      </c>
      <c r="B178" s="13" t="s">
        <v>32</v>
      </c>
      <c r="C178" s="13" t="s">
        <v>35</v>
      </c>
      <c r="D178" s="13" t="s">
        <v>16</v>
      </c>
      <c r="E178" s="13">
        <v>826.97</v>
      </c>
      <c r="F178" s="13">
        <v>18</v>
      </c>
      <c r="G178" s="13">
        <v>0.2</v>
      </c>
      <c r="H178" s="14">
        <v>45715</v>
      </c>
      <c r="I178" s="13">
        <v>330.79</v>
      </c>
      <c r="J178">
        <f t="shared" si="11"/>
        <v>0.23611497394101355</v>
      </c>
      <c r="K178" s="22">
        <f t="shared" ca="1" si="12"/>
        <v>46134.965780555554</v>
      </c>
    </row>
    <row r="179" spans="1:11" ht="15.75" customHeight="1" x14ac:dyDescent="0.3">
      <c r="A179" s="17" t="s">
        <v>17</v>
      </c>
      <c r="B179" s="13" t="s">
        <v>32</v>
      </c>
      <c r="C179" s="13" t="s">
        <v>35</v>
      </c>
      <c r="D179" s="13" t="s">
        <v>16</v>
      </c>
      <c r="E179" s="13">
        <v>1022.23</v>
      </c>
      <c r="F179" s="13">
        <v>8</v>
      </c>
      <c r="G179" s="13">
        <v>0.1</v>
      </c>
      <c r="H179" s="14">
        <v>45717</v>
      </c>
      <c r="I179" s="13">
        <v>460</v>
      </c>
      <c r="J179">
        <f t="shared" si="11"/>
        <v>7.5775510403725224E-2</v>
      </c>
      <c r="K179" s="22">
        <f t="shared" ca="1" si="12"/>
        <v>46134.965780555554</v>
      </c>
    </row>
    <row r="180" spans="1:11" ht="15.75" customHeight="1" x14ac:dyDescent="0.3">
      <c r="A180" s="17" t="s">
        <v>73</v>
      </c>
      <c r="B180" s="13" t="s">
        <v>30</v>
      </c>
      <c r="C180" s="13" t="s">
        <v>19</v>
      </c>
      <c r="D180" s="13" t="s">
        <v>13</v>
      </c>
      <c r="E180" s="13">
        <v>1099.69</v>
      </c>
      <c r="F180" s="13">
        <v>6</v>
      </c>
      <c r="G180" s="13">
        <v>0</v>
      </c>
      <c r="H180" s="14">
        <v>45718</v>
      </c>
      <c r="I180" s="13">
        <v>439.88</v>
      </c>
      <c r="J180">
        <f t="shared" si="11"/>
        <v>-0.35389064190817415</v>
      </c>
      <c r="K180" s="22">
        <f t="shared" ca="1" si="12"/>
        <v>46134.965780555554</v>
      </c>
    </row>
    <row r="181" spans="1:11" ht="15.75" customHeight="1" x14ac:dyDescent="0.3">
      <c r="A181" s="17" t="s">
        <v>53</v>
      </c>
      <c r="B181" s="13" t="s">
        <v>65</v>
      </c>
      <c r="C181" s="13" t="s">
        <v>25</v>
      </c>
      <c r="D181" s="13" t="s">
        <v>13</v>
      </c>
      <c r="E181" s="13">
        <v>710.52</v>
      </c>
      <c r="F181" s="13">
        <v>8</v>
      </c>
      <c r="G181" s="13">
        <v>0.1</v>
      </c>
      <c r="H181" s="14">
        <v>45721</v>
      </c>
      <c r="I181" s="13">
        <v>255.79</v>
      </c>
      <c r="J181">
        <f t="shared" si="11"/>
        <v>-0.29744412542926307</v>
      </c>
      <c r="K181" s="22">
        <f t="shared" ca="1" si="12"/>
        <v>46134.965780555554</v>
      </c>
    </row>
    <row r="182" spans="1:11" ht="15.75" customHeight="1" x14ac:dyDescent="0.3">
      <c r="A182" s="17" t="s">
        <v>53</v>
      </c>
      <c r="B182" s="13" t="s">
        <v>60</v>
      </c>
      <c r="C182" s="13" t="s">
        <v>25</v>
      </c>
      <c r="D182" s="13" t="s">
        <v>13</v>
      </c>
      <c r="E182" s="13">
        <v>499.18</v>
      </c>
      <c r="F182" s="13">
        <v>15</v>
      </c>
      <c r="G182" s="13">
        <v>0.2</v>
      </c>
      <c r="H182" s="14">
        <v>45724</v>
      </c>
      <c r="I182" s="13">
        <v>159.74</v>
      </c>
      <c r="J182">
        <f t="shared" si="11"/>
        <v>1.1318762770944348</v>
      </c>
      <c r="K182" s="22">
        <f t="shared" ca="1" si="12"/>
        <v>46134.965780555554</v>
      </c>
    </row>
    <row r="183" spans="1:11" ht="15.75" customHeight="1" x14ac:dyDescent="0.3">
      <c r="A183" s="17" t="s">
        <v>38</v>
      </c>
      <c r="B183" s="13" t="s">
        <v>39</v>
      </c>
      <c r="C183" s="13" t="s">
        <v>21</v>
      </c>
      <c r="D183" s="13" t="s">
        <v>13</v>
      </c>
      <c r="E183" s="13">
        <v>1064.19</v>
      </c>
      <c r="F183" s="13">
        <v>18</v>
      </c>
      <c r="G183" s="13">
        <v>0.05</v>
      </c>
      <c r="H183" s="14">
        <v>45725</v>
      </c>
      <c r="I183" s="13">
        <v>404.39</v>
      </c>
      <c r="J183">
        <f t="shared" si="11"/>
        <v>-0.58770520301825802</v>
      </c>
      <c r="K183" s="22">
        <f t="shared" ca="1" si="12"/>
        <v>46134.965780555554</v>
      </c>
    </row>
    <row r="184" spans="1:11" ht="15.75" customHeight="1" x14ac:dyDescent="0.3">
      <c r="A184" s="17" t="s">
        <v>68</v>
      </c>
      <c r="B184" s="13" t="s">
        <v>39</v>
      </c>
      <c r="C184" s="13" t="s">
        <v>19</v>
      </c>
      <c r="D184" s="13" t="s">
        <v>40</v>
      </c>
      <c r="E184" s="13">
        <v>438.76</v>
      </c>
      <c r="F184" s="13">
        <v>18</v>
      </c>
      <c r="G184" s="13">
        <v>0.05</v>
      </c>
      <c r="H184" s="14">
        <v>45726</v>
      </c>
      <c r="I184" s="13">
        <v>187.57</v>
      </c>
      <c r="J184">
        <f t="shared" si="11"/>
        <v>0.97141945482724046</v>
      </c>
      <c r="K184" s="22">
        <f t="shared" ca="1" si="12"/>
        <v>46134.965780555554</v>
      </c>
    </row>
    <row r="185" spans="1:11" ht="15.75" customHeight="1" x14ac:dyDescent="0.3">
      <c r="A185" s="17" t="s">
        <v>42</v>
      </c>
      <c r="B185" s="13" t="s">
        <v>56</v>
      </c>
      <c r="C185" s="13" t="s">
        <v>12</v>
      </c>
      <c r="D185" s="13" t="s">
        <v>16</v>
      </c>
      <c r="E185" s="13">
        <v>864.98</v>
      </c>
      <c r="F185" s="13">
        <v>2</v>
      </c>
      <c r="G185" s="13">
        <v>0.05</v>
      </c>
      <c r="H185" s="14">
        <v>45727</v>
      </c>
      <c r="I185" s="13">
        <v>410.87</v>
      </c>
      <c r="J185">
        <f t="shared" si="11"/>
        <v>0.13867372656015159</v>
      </c>
      <c r="K185" s="22">
        <f t="shared" ca="1" si="12"/>
        <v>46134.965780555554</v>
      </c>
    </row>
    <row r="186" spans="1:11" ht="15.75" customHeight="1" x14ac:dyDescent="0.3">
      <c r="A186" s="17" t="s">
        <v>58</v>
      </c>
      <c r="B186" s="13" t="s">
        <v>56</v>
      </c>
      <c r="C186" s="13" t="s">
        <v>12</v>
      </c>
      <c r="D186" s="13" t="s">
        <v>28</v>
      </c>
      <c r="E186" s="13">
        <v>984.93</v>
      </c>
      <c r="F186" s="13">
        <v>14</v>
      </c>
      <c r="G186" s="13">
        <v>0.2</v>
      </c>
      <c r="H186" s="14">
        <v>45733</v>
      </c>
      <c r="I186" s="13">
        <v>275.77999999999997</v>
      </c>
      <c r="J186">
        <f t="shared" si="11"/>
        <v>0.51634126283086113</v>
      </c>
      <c r="K186" s="22">
        <f t="shared" ca="1" si="12"/>
        <v>46134.965780555554</v>
      </c>
    </row>
    <row r="187" spans="1:11" ht="15.75" customHeight="1" x14ac:dyDescent="0.3">
      <c r="A187" s="17" t="s">
        <v>26</v>
      </c>
      <c r="B187" s="13" t="s">
        <v>56</v>
      </c>
      <c r="C187" s="13" t="s">
        <v>12</v>
      </c>
      <c r="D187" s="13" t="s">
        <v>16</v>
      </c>
      <c r="E187" s="13">
        <v>1493.49</v>
      </c>
      <c r="F187" s="13">
        <v>18</v>
      </c>
      <c r="G187" s="13">
        <v>0</v>
      </c>
      <c r="H187" s="14">
        <v>45734</v>
      </c>
      <c r="I187" s="13">
        <v>746.74</v>
      </c>
      <c r="J187">
        <f t="shared" si="11"/>
        <v>-0.53837655424542519</v>
      </c>
      <c r="K187" s="22">
        <f t="shared" ca="1" si="12"/>
        <v>46134.965780555554</v>
      </c>
    </row>
    <row r="188" spans="1:11" ht="15.75" customHeight="1" x14ac:dyDescent="0.3">
      <c r="A188" s="17" t="s">
        <v>33</v>
      </c>
      <c r="B188" s="13" t="s">
        <v>54</v>
      </c>
      <c r="C188" s="13" t="s">
        <v>21</v>
      </c>
      <c r="D188" s="13" t="s">
        <v>16</v>
      </c>
      <c r="E188" s="13">
        <v>689.43</v>
      </c>
      <c r="F188" s="13">
        <v>9</v>
      </c>
      <c r="G188" s="13">
        <v>0.1</v>
      </c>
      <c r="H188" s="14">
        <v>45736</v>
      </c>
      <c r="I188" s="13">
        <v>310.24</v>
      </c>
      <c r="J188">
        <f t="shared" si="11"/>
        <v>-1.0428905037494657E-2</v>
      </c>
      <c r="K188" s="22">
        <f t="shared" ca="1" si="12"/>
        <v>46134.965780555554</v>
      </c>
    </row>
    <row r="189" spans="1:11" ht="15.75" customHeight="1" x14ac:dyDescent="0.3">
      <c r="A189" s="17" t="s">
        <v>41</v>
      </c>
      <c r="B189" s="13" t="s">
        <v>60</v>
      </c>
      <c r="C189" s="13" t="s">
        <v>21</v>
      </c>
      <c r="D189" s="13" t="s">
        <v>16</v>
      </c>
      <c r="E189" s="13">
        <v>682.24</v>
      </c>
      <c r="F189" s="13">
        <v>1</v>
      </c>
      <c r="G189" s="13">
        <v>0</v>
      </c>
      <c r="H189" s="14">
        <v>45738</v>
      </c>
      <c r="I189" s="13">
        <v>341.12</v>
      </c>
      <c r="J189">
        <f t="shared" si="11"/>
        <v>-0.32789047842401498</v>
      </c>
      <c r="K189" s="22">
        <f t="shared" ca="1" si="12"/>
        <v>46134.965780555554</v>
      </c>
    </row>
    <row r="190" spans="1:11" ht="15.75" customHeight="1" x14ac:dyDescent="0.3">
      <c r="A190" s="17" t="s">
        <v>42</v>
      </c>
      <c r="B190" s="13" t="s">
        <v>27</v>
      </c>
      <c r="C190" s="13" t="s">
        <v>25</v>
      </c>
      <c r="D190" s="13" t="s">
        <v>22</v>
      </c>
      <c r="E190" s="13">
        <v>458.54</v>
      </c>
      <c r="F190" s="13">
        <v>15</v>
      </c>
      <c r="G190" s="13">
        <v>0.2</v>
      </c>
      <c r="H190" s="14">
        <v>45741</v>
      </c>
      <c r="I190" s="13">
        <v>91.71</v>
      </c>
      <c r="J190">
        <f t="shared" si="11"/>
        <v>1.5826536398133206</v>
      </c>
      <c r="K190" s="22">
        <f t="shared" ca="1" si="12"/>
        <v>46134.965780555554</v>
      </c>
    </row>
    <row r="191" spans="1:11" ht="15.75" customHeight="1" x14ac:dyDescent="0.3">
      <c r="A191" s="17" t="s">
        <v>33</v>
      </c>
      <c r="B191" s="13" t="s">
        <v>27</v>
      </c>
      <c r="C191" s="13" t="s">
        <v>21</v>
      </c>
      <c r="D191" s="13" t="s">
        <v>28</v>
      </c>
      <c r="E191" s="13">
        <v>1184.25</v>
      </c>
      <c r="F191" s="13">
        <v>11</v>
      </c>
      <c r="G191" s="13">
        <v>0.2</v>
      </c>
      <c r="H191" s="14">
        <v>45742</v>
      </c>
      <c r="I191" s="13">
        <v>331.59</v>
      </c>
      <c r="J191">
        <f t="shared" si="11"/>
        <v>-0.35643656322567024</v>
      </c>
      <c r="K191" s="22">
        <f ca="1">NOW()</f>
        <v>46134.965780555554</v>
      </c>
    </row>
    <row r="192" spans="1:11" ht="15.75" customHeight="1" x14ac:dyDescent="0.3">
      <c r="A192" s="17" t="s">
        <v>26</v>
      </c>
      <c r="B192" s="13" t="s">
        <v>11</v>
      </c>
      <c r="C192" s="13" t="s">
        <v>21</v>
      </c>
      <c r="D192" s="13" t="s">
        <v>16</v>
      </c>
      <c r="E192" s="13">
        <v>762.14</v>
      </c>
      <c r="F192" s="13">
        <v>9</v>
      </c>
      <c r="G192" s="13">
        <v>0</v>
      </c>
      <c r="H192" s="14">
        <v>45743</v>
      </c>
      <c r="I192" s="13">
        <v>381.07</v>
      </c>
      <c r="J192">
        <f t="shared" si="11"/>
        <v>-1.4997244600729459E-2</v>
      </c>
      <c r="K192" s="22">
        <f t="shared" ca="1" si="12"/>
        <v>46134.965780555554</v>
      </c>
    </row>
    <row r="193" spans="1:11" ht="15.75" customHeight="1" x14ac:dyDescent="0.3">
      <c r="A193" s="17" t="s">
        <v>23</v>
      </c>
      <c r="B193" s="13" t="s">
        <v>54</v>
      </c>
      <c r="C193" s="13" t="s">
        <v>25</v>
      </c>
      <c r="D193" s="13" t="s">
        <v>13</v>
      </c>
      <c r="E193" s="13">
        <v>750.71</v>
      </c>
      <c r="F193" s="13">
        <v>10</v>
      </c>
      <c r="G193" s="13">
        <v>0.15</v>
      </c>
      <c r="H193" s="14">
        <v>45743</v>
      </c>
      <c r="I193" s="13">
        <v>255.24</v>
      </c>
      <c r="J193">
        <f t="shared" si="11"/>
        <v>0.94074942387872806</v>
      </c>
      <c r="K193" s="22">
        <f t="shared" ca="1" si="12"/>
        <v>46134.965780555554</v>
      </c>
    </row>
    <row r="194" spans="1:11" ht="15.75" customHeight="1" x14ac:dyDescent="0.3">
      <c r="A194" s="17" t="s">
        <v>76</v>
      </c>
      <c r="B194" s="13" t="s">
        <v>72</v>
      </c>
      <c r="C194" s="13" t="s">
        <v>35</v>
      </c>
      <c r="D194" s="13" t="s">
        <v>16</v>
      </c>
      <c r="E194" s="13">
        <v>1456.94</v>
      </c>
      <c r="F194" s="13">
        <v>14</v>
      </c>
      <c r="G194" s="13">
        <v>0.05</v>
      </c>
      <c r="H194" s="14">
        <v>45745</v>
      </c>
      <c r="I194" s="13">
        <v>692.05</v>
      </c>
      <c r="J194">
        <f t="shared" ref="J194:J201" si="13">(E195 - E194) / E194</f>
        <v>-0.24953670020728372</v>
      </c>
      <c r="K194" s="22">
        <f t="shared" ref="K194:K201" ca="1" si="14">NOW()</f>
        <v>46134.965780555554</v>
      </c>
    </row>
    <row r="195" spans="1:11" ht="15.75" customHeight="1" x14ac:dyDescent="0.3">
      <c r="A195" s="17" t="s">
        <v>45</v>
      </c>
      <c r="B195" s="13" t="s">
        <v>62</v>
      </c>
      <c r="C195" s="13" t="s">
        <v>19</v>
      </c>
      <c r="D195" s="13" t="s">
        <v>28</v>
      </c>
      <c r="E195" s="13">
        <v>1093.3800000000001</v>
      </c>
      <c r="F195" s="13">
        <v>17</v>
      </c>
      <c r="G195" s="13">
        <v>0.1</v>
      </c>
      <c r="H195" s="14">
        <v>45745</v>
      </c>
      <c r="I195" s="13">
        <v>344.41</v>
      </c>
      <c r="J195">
        <f t="shared" si="13"/>
        <v>-0.14552122775247409</v>
      </c>
      <c r="K195" s="22">
        <f t="shared" ca="1" si="14"/>
        <v>46134.965780555554</v>
      </c>
    </row>
    <row r="196" spans="1:11" ht="15.75" customHeight="1" x14ac:dyDescent="0.3">
      <c r="A196" s="17" t="s">
        <v>38</v>
      </c>
      <c r="B196" s="13" t="s">
        <v>44</v>
      </c>
      <c r="C196" s="13" t="s">
        <v>12</v>
      </c>
      <c r="D196" s="13" t="s">
        <v>16</v>
      </c>
      <c r="E196" s="13">
        <v>934.27</v>
      </c>
      <c r="F196" s="13">
        <v>8</v>
      </c>
      <c r="G196" s="13">
        <v>0.15</v>
      </c>
      <c r="H196" s="14">
        <v>45746</v>
      </c>
      <c r="I196" s="13">
        <v>397.06</v>
      </c>
      <c r="J196">
        <f t="shared" si="13"/>
        <v>0.56844381174606906</v>
      </c>
      <c r="K196" s="22">
        <f t="shared" ca="1" si="14"/>
        <v>46134.965780555554</v>
      </c>
    </row>
    <row r="197" spans="1:11" ht="15.75" customHeight="1" x14ac:dyDescent="0.3">
      <c r="A197" s="17" t="s">
        <v>71</v>
      </c>
      <c r="B197" s="13" t="s">
        <v>37</v>
      </c>
      <c r="C197" s="13" t="s">
        <v>35</v>
      </c>
      <c r="D197" s="13" t="s">
        <v>16</v>
      </c>
      <c r="E197" s="13">
        <v>1465.35</v>
      </c>
      <c r="F197" s="13">
        <v>8</v>
      </c>
      <c r="G197" s="13">
        <v>0.2</v>
      </c>
      <c r="H197" s="14">
        <v>45746</v>
      </c>
      <c r="I197" s="13">
        <v>586.14</v>
      </c>
      <c r="J197">
        <f t="shared" si="13"/>
        <v>-0.49445524959907189</v>
      </c>
      <c r="K197" s="22">
        <f t="shared" ca="1" si="14"/>
        <v>46134.965780555554</v>
      </c>
    </row>
    <row r="198" spans="1:11" ht="15.75" customHeight="1" x14ac:dyDescent="0.3">
      <c r="A198" s="17" t="s">
        <v>53</v>
      </c>
      <c r="B198" s="13" t="s">
        <v>15</v>
      </c>
      <c r="C198" s="13" t="s">
        <v>21</v>
      </c>
      <c r="D198" s="13" t="s">
        <v>40</v>
      </c>
      <c r="E198" s="13">
        <v>740.8</v>
      </c>
      <c r="F198" s="13">
        <v>3</v>
      </c>
      <c r="G198" s="13">
        <v>0</v>
      </c>
      <c r="H198" s="14">
        <v>45749</v>
      </c>
      <c r="I198" s="13">
        <v>333.36</v>
      </c>
      <c r="J198">
        <f t="shared" si="13"/>
        <v>-0.26371490280777526</v>
      </c>
      <c r="K198" s="22">
        <f t="shared" ca="1" si="14"/>
        <v>46134.965780555554</v>
      </c>
    </row>
    <row r="199" spans="1:11" ht="15.75" customHeight="1" x14ac:dyDescent="0.3">
      <c r="A199" s="17" t="s">
        <v>59</v>
      </c>
      <c r="B199" s="13" t="s">
        <v>44</v>
      </c>
      <c r="C199" s="13" t="s">
        <v>12</v>
      </c>
      <c r="D199" s="13" t="s">
        <v>40</v>
      </c>
      <c r="E199" s="13">
        <v>545.44000000000005</v>
      </c>
      <c r="F199" s="13">
        <v>17</v>
      </c>
      <c r="G199" s="13">
        <v>0</v>
      </c>
      <c r="H199" s="14">
        <v>45752</v>
      </c>
      <c r="I199" s="13">
        <v>245.45</v>
      </c>
      <c r="J199">
        <f t="shared" si="13"/>
        <v>0.82900044001173345</v>
      </c>
      <c r="K199" s="22">
        <f t="shared" ca="1" si="14"/>
        <v>46134.965780555554</v>
      </c>
    </row>
    <row r="200" spans="1:11" ht="15.75" customHeight="1" x14ac:dyDescent="0.3">
      <c r="A200" s="17" t="s">
        <v>36</v>
      </c>
      <c r="B200" s="13" t="s">
        <v>37</v>
      </c>
      <c r="C200" s="13" t="s">
        <v>19</v>
      </c>
      <c r="D200" s="13" t="s">
        <v>13</v>
      </c>
      <c r="E200" s="13">
        <v>997.61</v>
      </c>
      <c r="F200" s="13">
        <v>8</v>
      </c>
      <c r="G200" s="13">
        <v>0.05</v>
      </c>
      <c r="H200" s="14">
        <v>45752</v>
      </c>
      <c r="I200" s="13">
        <v>379.09</v>
      </c>
      <c r="J200">
        <f t="shared" si="13"/>
        <v>-6.9455999839616644E-2</v>
      </c>
      <c r="K200" s="22">
        <f t="shared" ca="1" si="14"/>
        <v>46134.965780555554</v>
      </c>
    </row>
    <row r="201" spans="1:11" ht="15.75" customHeight="1" x14ac:dyDescent="0.3">
      <c r="A201" s="17" t="s">
        <v>61</v>
      </c>
      <c r="B201" s="13" t="s">
        <v>37</v>
      </c>
      <c r="C201" s="13" t="s">
        <v>21</v>
      </c>
      <c r="D201" s="13" t="s">
        <v>16</v>
      </c>
      <c r="E201" s="13">
        <v>928.32</v>
      </c>
      <c r="F201" s="13">
        <v>2</v>
      </c>
      <c r="G201" s="13">
        <v>0.05</v>
      </c>
      <c r="H201" s="14">
        <v>45754</v>
      </c>
      <c r="I201" s="13">
        <v>440.95</v>
      </c>
      <c r="J201">
        <f t="shared" si="13"/>
        <v>-1</v>
      </c>
      <c r="K201" s="23">
        <f t="shared" ca="1" si="14"/>
        <v>46134.965780555554</v>
      </c>
    </row>
    <row r="202" spans="1:11" ht="15.75" customHeight="1" x14ac:dyDescent="0.3">
      <c r="I202">
        <f>SUM(I1:I201)</f>
        <v>68287.010000000009</v>
      </c>
    </row>
    <row r="203" spans="1:11" ht="15.75" customHeight="1" x14ac:dyDescent="0.3"/>
    <row r="204" spans="1:11" ht="15.75" customHeight="1" x14ac:dyDescent="0.3"/>
    <row r="205" spans="1:11" ht="15.75" customHeight="1" x14ac:dyDescent="0.3"/>
    <row r="206" spans="1:11" ht="15.75" customHeight="1" x14ac:dyDescent="0.3"/>
    <row r="207" spans="1:11" ht="15.75" customHeight="1" x14ac:dyDescent="0.3"/>
    <row r="208" spans="1:11"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scenarios current="4" show="4" sqref="P6">
    <scenario name="0% Discount" locked="1" count="1" user="Kunj Mistry" comment="Created by Kunj Mistry on 22-04-2026_x000a_Modified by Kunj Mistry on 22-04-2026">
      <inputCells r="P5" val="0"/>
    </scenario>
    <scenario name="5% Discount" locked="1" count="1" user="Kunj Mistry" comment="Created by Kunj Mistry on 22-04-2026">
      <inputCells r="P5" val="0.05"/>
    </scenario>
    <scenario name="10% Discount" locked="1" count="1" user="Kunj Mistry" comment="Created by Kunj Mistry on 22-04-2026">
      <inputCells r="P5" val="0.1"/>
    </scenario>
    <scenario name="15% Discount" locked="1" count="1" user="Kunj Mistry" comment="Created by Kunj Mistry on 22-04-2026">
      <inputCells r="P5" val="0.15"/>
    </scenario>
    <scenario name="20% Discount " locked="1" count="1" user="Kunj Mistry" comment="Created by Kunj Mistry on 22-04-2026">
      <inputCells r="P5" val="0.2"/>
    </scenario>
  </scenarios>
  <conditionalFormatting sqref="E1:E1048576">
    <cfRule type="top10" dxfId="0" priority="4" rank="10"/>
    <cfRule type="top10" priority="5" rank="10"/>
  </conditionalFormatting>
  <pageMargins left="0.75" right="0.75" top="1" bottom="1" header="0" footer="0"/>
  <pageSetup orientation="landscape"/>
  <drawing r:id="rId1"/>
  <tableParts count="1">
    <tablePart r:id="rId2"/>
  </tableParts>
  <extLst>
    <ext xmlns:x14="http://schemas.microsoft.com/office/spreadsheetml/2009/9/main" uri="{78C0D931-6437-407d-A8EE-F0AAD7539E65}">
      <x14:conditionalFormattings>
        <x14:conditionalFormatting xmlns:xm="http://schemas.microsoft.com/office/excel/2006/main">
          <x14:cfRule type="iconSet" priority="1" id="{00000000-000E-0000-0100-000001000000}">
            <x14:iconSet iconSet="3Arrows" custom="1">
              <x14:cfvo type="percent">
                <xm:f>0</xm:f>
              </x14:cfvo>
              <x14:cfvo type="num">
                <xm:f>0</xm:f>
              </x14:cfvo>
              <x14:cfvo type="num">
                <xm:f>0</xm:f>
              </x14:cfvo>
              <x14:cfIcon iconSet="3Arrows" iconId="0"/>
              <x14:cfIcon iconSet="3Arrows" iconId="0"/>
              <x14:cfIcon iconSet="3Arrows" iconId="2"/>
            </x14:iconSet>
          </x14:cfRule>
          <xm:sqref>J1:J1048576</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C0B027-935D-4BEA-87C8-4FAEF778797D}">
  <dimension ref="A1"/>
  <sheetViews>
    <sheetView showGridLines="0" tabSelected="1" topLeftCell="D2" zoomScale="76" zoomScaleNormal="76" workbookViewId="0">
      <selection activeCell="F26" sqref="F26"/>
    </sheetView>
  </sheetViews>
  <sheetFormatPr defaultRowHeight="14.4" x14ac:dyDescent="0.3"/>
  <cols>
    <col min="1" max="16384" width="8.88671875" style="39"/>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A56AE7-E884-4BDB-8BC4-25079B83D294}">
  <dimension ref="A1:Q204"/>
  <sheetViews>
    <sheetView topLeftCell="B1" zoomScale="70" zoomScaleNormal="70" workbookViewId="0">
      <selection activeCell="S12" sqref="S12"/>
    </sheetView>
  </sheetViews>
  <sheetFormatPr defaultRowHeight="14.4" x14ac:dyDescent="0.3"/>
  <cols>
    <col min="1" max="1" width="23.77734375" bestFit="1" customWidth="1"/>
    <col min="2" max="2" width="23.109375" bestFit="1" customWidth="1"/>
    <col min="3" max="3" width="14.6640625" bestFit="1" customWidth="1"/>
    <col min="4" max="4" width="26" bestFit="1" customWidth="1"/>
    <col min="6" max="6" width="28" bestFit="1" customWidth="1"/>
    <col min="7" max="7" width="12.21875" bestFit="1" customWidth="1"/>
    <col min="9" max="9" width="24" bestFit="1" customWidth="1"/>
    <col min="10" max="10" width="17.44140625" bestFit="1" customWidth="1"/>
    <col min="11" max="11" width="20.109375" bestFit="1" customWidth="1"/>
    <col min="12" max="12" width="11.77734375" bestFit="1" customWidth="1"/>
    <col min="13" max="13" width="12.6640625" bestFit="1" customWidth="1"/>
    <col min="14" max="15" width="15.88671875" bestFit="1" customWidth="1"/>
    <col min="16" max="16" width="18.33203125" bestFit="1" customWidth="1"/>
    <col min="17" max="17" width="20.109375" bestFit="1" customWidth="1"/>
  </cols>
  <sheetData>
    <row r="1" spans="1:17" ht="29.4" thickBot="1" x14ac:dyDescent="0.6">
      <c r="B1" s="51" t="s">
        <v>80</v>
      </c>
      <c r="C1" s="52"/>
      <c r="D1" s="52"/>
      <c r="E1" s="52"/>
      <c r="F1" s="52"/>
      <c r="G1" s="52"/>
      <c r="H1" s="52"/>
      <c r="I1" s="52"/>
      <c r="J1" s="52"/>
      <c r="K1" s="52"/>
      <c r="L1" s="52"/>
      <c r="M1" s="52"/>
      <c r="N1" s="52"/>
      <c r="O1" s="52"/>
      <c r="P1" s="52"/>
      <c r="Q1" s="53"/>
    </row>
    <row r="3" spans="1:17" x14ac:dyDescent="0.3">
      <c r="A3" s="2" t="s">
        <v>105</v>
      </c>
      <c r="F3" s="2" t="s">
        <v>109</v>
      </c>
      <c r="I3" s="2" t="s">
        <v>81</v>
      </c>
      <c r="L3" s="2" t="s">
        <v>88</v>
      </c>
    </row>
    <row r="4" spans="1:17" ht="15" thickBot="1" x14ac:dyDescent="0.35"/>
    <row r="5" spans="1:17" x14ac:dyDescent="0.3">
      <c r="A5" s="24" t="s">
        <v>106</v>
      </c>
      <c r="B5" s="24" t="s">
        <v>111</v>
      </c>
      <c r="C5" s="24" t="s">
        <v>107</v>
      </c>
      <c r="D5" s="24" t="s">
        <v>108</v>
      </c>
      <c r="F5" s="24" t="s">
        <v>110</v>
      </c>
      <c r="G5" s="24">
        <v>331.55</v>
      </c>
      <c r="I5" s="25" t="s">
        <v>82</v>
      </c>
      <c r="J5" s="25"/>
      <c r="L5" s="24"/>
      <c r="M5" s="24" t="s">
        <v>93</v>
      </c>
      <c r="N5" s="24" t="s">
        <v>94</v>
      </c>
      <c r="O5" s="24" t="s">
        <v>95</v>
      </c>
      <c r="P5" s="24" t="s">
        <v>96</v>
      </c>
      <c r="Q5" s="24" t="s">
        <v>97</v>
      </c>
    </row>
    <row r="6" spans="1:17" x14ac:dyDescent="0.3">
      <c r="A6">
        <v>1</v>
      </c>
      <c r="B6" s="8">
        <v>385.52773164043225</v>
      </c>
      <c r="C6" s="8">
        <v>54.98226835956774</v>
      </c>
      <c r="D6" s="8">
        <v>0.63745290245941011</v>
      </c>
      <c r="F6" s="8">
        <v>0.25125628140703515</v>
      </c>
      <c r="G6">
        <v>64.63</v>
      </c>
      <c r="I6" t="s">
        <v>83</v>
      </c>
      <c r="J6" s="8">
        <v>0.77356566420146511</v>
      </c>
      <c r="L6" t="s">
        <v>89</v>
      </c>
      <c r="M6">
        <v>1</v>
      </c>
      <c r="N6">
        <v>2194922.0703649437</v>
      </c>
      <c r="O6">
        <v>2194922.0703649437</v>
      </c>
      <c r="P6">
        <v>293.54253518184368</v>
      </c>
      <c r="Q6">
        <v>6.8782375878390769E-41</v>
      </c>
    </row>
    <row r="7" spans="1:17" x14ac:dyDescent="0.3">
      <c r="A7">
        <v>2</v>
      </c>
      <c r="B7" s="8">
        <v>249.37604564672074</v>
      </c>
      <c r="C7" s="8">
        <v>35.963954353279235</v>
      </c>
      <c r="D7" s="8">
        <v>0.41695855355567979</v>
      </c>
      <c r="F7" s="8">
        <v>0.75376884422110546</v>
      </c>
      <c r="G7">
        <v>82.57</v>
      </c>
      <c r="I7" t="s">
        <v>84</v>
      </c>
      <c r="J7" s="8">
        <v>0.59840383683145382</v>
      </c>
      <c r="L7" t="s">
        <v>90</v>
      </c>
      <c r="M7">
        <v>197</v>
      </c>
      <c r="N7">
        <v>1473039.1545948565</v>
      </c>
      <c r="O7">
        <v>7477.3561146947031</v>
      </c>
    </row>
    <row r="8" spans="1:17" ht="15" thickBot="1" x14ac:dyDescent="0.35">
      <c r="A8">
        <v>3</v>
      </c>
      <c r="B8" s="8">
        <v>266.07826438271269</v>
      </c>
      <c r="C8" s="8">
        <v>-104.3782643827127</v>
      </c>
      <c r="D8" s="8">
        <v>-1.210139733582992</v>
      </c>
      <c r="F8" s="8">
        <v>1.2562814070351758</v>
      </c>
      <c r="G8">
        <v>91.71</v>
      </c>
      <c r="I8" t="s">
        <v>85</v>
      </c>
      <c r="J8" s="8">
        <v>0.59636527762755254</v>
      </c>
      <c r="L8" s="6" t="s">
        <v>91</v>
      </c>
      <c r="M8" s="6">
        <v>198</v>
      </c>
      <c r="N8" s="6">
        <v>3667961.2249598</v>
      </c>
      <c r="O8" s="6"/>
      <c r="P8" s="6"/>
      <c r="Q8" s="6"/>
    </row>
    <row r="9" spans="1:17" x14ac:dyDescent="0.3">
      <c r="A9">
        <v>4</v>
      </c>
      <c r="B9" s="8">
        <v>296.28545006472217</v>
      </c>
      <c r="C9" s="8">
        <v>-25.245450064722149</v>
      </c>
      <c r="D9" s="8">
        <v>-0.29269045999355991</v>
      </c>
      <c r="F9" s="8">
        <v>1.7587939698492461</v>
      </c>
      <c r="G9">
        <v>111.39</v>
      </c>
      <c r="I9" t="s">
        <v>86</v>
      </c>
      <c r="J9" s="8">
        <v>86.471707018508098</v>
      </c>
    </row>
    <row r="10" spans="1:17" ht="15" thickBot="1" x14ac:dyDescent="0.35">
      <c r="A10">
        <v>5</v>
      </c>
      <c r="B10" s="8">
        <v>337.92342507707957</v>
      </c>
      <c r="C10" s="8">
        <v>-33.743425077079564</v>
      </c>
      <c r="D10" s="8">
        <v>-0.39121420225222442</v>
      </c>
      <c r="F10" s="8">
        <v>2.2613065326633164</v>
      </c>
      <c r="G10">
        <v>114.7</v>
      </c>
      <c r="I10" s="6" t="s">
        <v>87</v>
      </c>
      <c r="J10" s="6">
        <v>199</v>
      </c>
    </row>
    <row r="11" spans="1:17" x14ac:dyDescent="0.3">
      <c r="A11">
        <v>6</v>
      </c>
      <c r="B11" s="8">
        <v>461.42297857588653</v>
      </c>
      <c r="C11" s="8">
        <v>-148.51297857588651</v>
      </c>
      <c r="D11" s="8">
        <v>-1.7218283652281696</v>
      </c>
      <c r="F11" s="8">
        <v>2.7638190954773867</v>
      </c>
      <c r="G11">
        <v>121.54</v>
      </c>
    </row>
    <row r="12" spans="1:17" ht="15" thickBot="1" x14ac:dyDescent="0.35">
      <c r="A12">
        <v>7</v>
      </c>
      <c r="B12" s="8">
        <v>376.11847582383331</v>
      </c>
      <c r="C12" s="8">
        <v>-75.268475823833285</v>
      </c>
      <c r="D12" s="8">
        <v>-0.87264694253468733</v>
      </c>
      <c r="F12" s="8">
        <v>3.266331658291457</v>
      </c>
      <c r="G12">
        <v>134.66</v>
      </c>
    </row>
    <row r="13" spans="1:17" x14ac:dyDescent="0.3">
      <c r="A13">
        <v>8</v>
      </c>
      <c r="B13" s="8">
        <v>175.04257373490935</v>
      </c>
      <c r="C13" s="8">
        <v>15.54742626509065</v>
      </c>
      <c r="D13" s="8">
        <v>0.18025360346434452</v>
      </c>
      <c r="F13" s="8">
        <v>3.7688442211055273</v>
      </c>
      <c r="G13">
        <v>144.56</v>
      </c>
      <c r="I13" s="7"/>
      <c r="J13" s="24" t="s">
        <v>98</v>
      </c>
      <c r="K13" s="24" t="s">
        <v>86</v>
      </c>
      <c r="L13" s="24" t="s">
        <v>99</v>
      </c>
      <c r="M13" s="24" t="s">
        <v>100</v>
      </c>
      <c r="N13" s="24" t="s">
        <v>101</v>
      </c>
      <c r="O13" s="24" t="s">
        <v>102</v>
      </c>
      <c r="P13" s="24" t="s">
        <v>103</v>
      </c>
      <c r="Q13" s="24" t="s">
        <v>104</v>
      </c>
    </row>
    <row r="14" spans="1:17" x14ac:dyDescent="0.3">
      <c r="A14">
        <v>9</v>
      </c>
      <c r="B14" s="8">
        <v>257.78857313362403</v>
      </c>
      <c r="C14" s="8">
        <v>92.431426866376</v>
      </c>
      <c r="D14" s="8">
        <v>1.0716306018717214</v>
      </c>
      <c r="F14" s="8">
        <v>4.2713567839195976</v>
      </c>
      <c r="G14">
        <v>148.32</v>
      </c>
      <c r="I14" s="2" t="s">
        <v>92</v>
      </c>
      <c r="J14" s="8">
        <v>-0.97824544662927337</v>
      </c>
      <c r="K14" s="8">
        <v>20.907197536053534</v>
      </c>
      <c r="L14" s="8">
        <v>-4.6789888742493228E-2</v>
      </c>
      <c r="M14" s="8">
        <v>0.96272808608450733</v>
      </c>
      <c r="N14" s="8">
        <v>-42.208891362546005</v>
      </c>
      <c r="O14" s="8">
        <v>40.252400469287458</v>
      </c>
      <c r="P14" s="8">
        <v>-42.208891362546005</v>
      </c>
      <c r="Q14" s="8">
        <v>40.252400469287458</v>
      </c>
    </row>
    <row r="15" spans="1:17" ht="15" thickBot="1" x14ac:dyDescent="0.35">
      <c r="A15">
        <v>10</v>
      </c>
      <c r="B15" s="8">
        <v>551.01973043786165</v>
      </c>
      <c r="C15" s="8">
        <v>121.36026956213834</v>
      </c>
      <c r="D15" s="8">
        <v>1.4070255444850055</v>
      </c>
      <c r="F15" s="8">
        <v>4.7738693467336679</v>
      </c>
      <c r="G15">
        <v>150.18</v>
      </c>
      <c r="I15" s="6">
        <v>1036.0899999999999</v>
      </c>
      <c r="J15" s="9">
        <v>0.35096067947030868</v>
      </c>
      <c r="K15" s="9">
        <v>2.0484385572447462E-2</v>
      </c>
      <c r="L15" s="9">
        <v>17.133083061196064</v>
      </c>
      <c r="M15" s="9">
        <v>6.8782375878393705E-41</v>
      </c>
      <c r="N15" s="9">
        <v>0.31056385216305021</v>
      </c>
      <c r="O15" s="9">
        <v>0.39135750677756714</v>
      </c>
      <c r="P15" s="9">
        <v>0.31056385216305021</v>
      </c>
      <c r="Q15" s="9">
        <v>0.39135750677756714</v>
      </c>
    </row>
    <row r="16" spans="1:17" x14ac:dyDescent="0.3">
      <c r="A16">
        <v>11</v>
      </c>
      <c r="B16" s="8">
        <v>470.40757197032644</v>
      </c>
      <c r="C16" s="8">
        <v>-13.747571970326419</v>
      </c>
      <c r="D16" s="8">
        <v>-0.15938646977865617</v>
      </c>
      <c r="F16" s="8">
        <v>5.2763819095477382</v>
      </c>
      <c r="G16">
        <v>151.16</v>
      </c>
    </row>
    <row r="17" spans="1:7" x14ac:dyDescent="0.3">
      <c r="A17">
        <v>12</v>
      </c>
      <c r="B17" s="8">
        <v>417.21948099660113</v>
      </c>
      <c r="C17" s="8">
        <v>35.580519003398877</v>
      </c>
      <c r="D17" s="8">
        <v>0.41251308442573548</v>
      </c>
      <c r="F17" s="8">
        <v>5.7788944723618085</v>
      </c>
      <c r="G17">
        <v>155.19999999999999</v>
      </c>
    </row>
    <row r="18" spans="1:7" x14ac:dyDescent="0.3">
      <c r="A18">
        <v>13</v>
      </c>
      <c r="B18" s="8">
        <v>287.60970206821617</v>
      </c>
      <c r="C18" s="8">
        <v>-14.199702068216141</v>
      </c>
      <c r="D18" s="8">
        <v>-0.16462837142782499</v>
      </c>
      <c r="F18" s="8">
        <v>6.2814070351758788</v>
      </c>
      <c r="G18">
        <v>159.74</v>
      </c>
    </row>
    <row r="19" spans="1:7" x14ac:dyDescent="0.3">
      <c r="A19">
        <v>14</v>
      </c>
      <c r="B19" s="8">
        <v>182.10741221264664</v>
      </c>
      <c r="C19" s="8">
        <v>-26.907412212646648</v>
      </c>
      <c r="D19" s="8">
        <v>-0.3119589010124687</v>
      </c>
      <c r="F19" s="8">
        <v>6.7839195979899491</v>
      </c>
      <c r="G19">
        <v>160.24</v>
      </c>
    </row>
    <row r="20" spans="1:7" x14ac:dyDescent="0.3">
      <c r="A20">
        <v>15</v>
      </c>
      <c r="B20" s="8">
        <v>526.49108854968176</v>
      </c>
      <c r="C20" s="8">
        <v>-225.90108854968179</v>
      </c>
      <c r="D20" s="8">
        <v>-2.6190499021067848</v>
      </c>
      <c r="F20" s="8">
        <v>7.2864321608040195</v>
      </c>
      <c r="G20">
        <v>161.26</v>
      </c>
    </row>
    <row r="21" spans="1:7" x14ac:dyDescent="0.3">
      <c r="A21">
        <v>16</v>
      </c>
      <c r="B21" s="8">
        <v>307.0178276429242</v>
      </c>
      <c r="C21" s="8">
        <v>-8.6378276429242078</v>
      </c>
      <c r="D21" s="8">
        <v>-0.10014516436312142</v>
      </c>
      <c r="F21" s="8">
        <v>7.7889447236180898</v>
      </c>
      <c r="G21">
        <v>161.69999999999999</v>
      </c>
    </row>
    <row r="22" spans="1:7" x14ac:dyDescent="0.3">
      <c r="A22">
        <v>17</v>
      </c>
      <c r="B22" s="8">
        <v>222.47841917211628</v>
      </c>
      <c r="C22" s="8">
        <v>-18.738419172116267</v>
      </c>
      <c r="D22" s="8">
        <v>-0.21724930682471535</v>
      </c>
      <c r="F22" s="8">
        <v>8.2914572864321592</v>
      </c>
      <c r="G22">
        <v>165.97</v>
      </c>
    </row>
    <row r="23" spans="1:7" x14ac:dyDescent="0.3">
      <c r="A23">
        <v>18</v>
      </c>
      <c r="B23" s="8">
        <v>527.61767233078149</v>
      </c>
      <c r="C23" s="8">
        <v>-45.657672330781509</v>
      </c>
      <c r="D23" s="8">
        <v>-0.5293454892850511</v>
      </c>
      <c r="F23" s="8">
        <v>8.7939698492462313</v>
      </c>
      <c r="G23">
        <v>172.21</v>
      </c>
    </row>
    <row r="24" spans="1:7" x14ac:dyDescent="0.3">
      <c r="A24">
        <v>19</v>
      </c>
      <c r="B24" s="8">
        <v>225.39841202530923</v>
      </c>
      <c r="C24" s="8">
        <v>-64.138412025309236</v>
      </c>
      <c r="D24" s="8">
        <v>-0.74360731422162696</v>
      </c>
      <c r="F24" s="8">
        <v>9.2964824120602998</v>
      </c>
      <c r="G24">
        <v>172.26</v>
      </c>
    </row>
    <row r="25" spans="1:7" x14ac:dyDescent="0.3">
      <c r="A25">
        <v>20</v>
      </c>
      <c r="B25" s="8">
        <v>333.59257029241599</v>
      </c>
      <c r="C25" s="8">
        <v>143.05742970758399</v>
      </c>
      <c r="D25" s="8">
        <v>1.6585778743996402</v>
      </c>
      <c r="F25" s="8">
        <v>9.7989949748743719</v>
      </c>
      <c r="G25">
        <v>173.99</v>
      </c>
    </row>
    <row r="26" spans="1:7" x14ac:dyDescent="0.3">
      <c r="A26">
        <v>21</v>
      </c>
      <c r="B26" s="8">
        <v>135.39103616835388</v>
      </c>
      <c r="C26" s="8">
        <v>-52.821036168353885</v>
      </c>
      <c r="D26" s="8">
        <v>-0.61239602913857261</v>
      </c>
      <c r="F26" s="8">
        <v>10.30150753768844</v>
      </c>
      <c r="G26">
        <v>174.48</v>
      </c>
    </row>
    <row r="27" spans="1:7" x14ac:dyDescent="0.3">
      <c r="A27">
        <v>22</v>
      </c>
      <c r="B27" s="8">
        <v>259.84520271532</v>
      </c>
      <c r="C27" s="8">
        <v>37.424797284679983</v>
      </c>
      <c r="D27" s="8">
        <v>0.43389526050579735</v>
      </c>
      <c r="F27" s="8">
        <v>10.804020100502512</v>
      </c>
      <c r="G27">
        <v>176.59</v>
      </c>
    </row>
    <row r="28" spans="1:7" x14ac:dyDescent="0.3">
      <c r="A28">
        <v>23</v>
      </c>
      <c r="B28" s="8">
        <v>246.92984971081268</v>
      </c>
      <c r="C28" s="8">
        <v>-70.339849710812672</v>
      </c>
      <c r="D28" s="8">
        <v>-0.8155054837586323</v>
      </c>
      <c r="F28" s="8">
        <v>11.306532663316581</v>
      </c>
      <c r="G28">
        <v>177.77</v>
      </c>
    </row>
    <row r="29" spans="1:7" x14ac:dyDescent="0.3">
      <c r="A29">
        <v>24</v>
      </c>
      <c r="B29" s="8">
        <v>323.76918087404204</v>
      </c>
      <c r="C29" s="8">
        <v>50.980819125957964</v>
      </c>
      <c r="D29" s="8">
        <v>0.59106093821145511</v>
      </c>
      <c r="F29" s="8">
        <v>11.809045226130653</v>
      </c>
      <c r="G29">
        <v>178.91</v>
      </c>
    </row>
    <row r="30" spans="1:7" x14ac:dyDescent="0.3">
      <c r="A30">
        <v>25</v>
      </c>
      <c r="B30" s="8">
        <v>410.7407468535792</v>
      </c>
      <c r="C30" s="8">
        <v>-117.46074685357922</v>
      </c>
      <c r="D30" s="8">
        <v>-1.3618152950183731</v>
      </c>
      <c r="F30" s="8">
        <v>12.311557788944722</v>
      </c>
      <c r="G30">
        <v>179.51</v>
      </c>
    </row>
    <row r="31" spans="1:7" x14ac:dyDescent="0.3">
      <c r="A31">
        <v>26</v>
      </c>
      <c r="B31" s="8">
        <v>236.10973196274304</v>
      </c>
      <c r="C31" s="8">
        <v>0.33026803725695686</v>
      </c>
      <c r="D31" s="8">
        <v>3.8290584441189992E-3</v>
      </c>
      <c r="F31" s="8">
        <v>12.814070351758794</v>
      </c>
      <c r="G31">
        <v>180.39</v>
      </c>
    </row>
    <row r="32" spans="1:7" x14ac:dyDescent="0.3">
      <c r="A32">
        <v>27</v>
      </c>
      <c r="B32" s="8">
        <v>328.60541903714289</v>
      </c>
      <c r="C32" s="8">
        <v>28.244580962857128</v>
      </c>
      <c r="D32" s="8">
        <v>0.32746175541136996</v>
      </c>
      <c r="F32" s="8">
        <v>13.316582914572862</v>
      </c>
      <c r="G32">
        <v>187.57</v>
      </c>
    </row>
    <row r="33" spans="1:7" x14ac:dyDescent="0.3">
      <c r="A33">
        <v>28</v>
      </c>
      <c r="B33" s="8">
        <v>344.1354291037041</v>
      </c>
      <c r="C33" s="8">
        <v>54.114570896295902</v>
      </c>
      <c r="D33" s="8">
        <v>0.62739299982312591</v>
      </c>
      <c r="F33" s="8">
        <v>13.819095477386934</v>
      </c>
      <c r="G33">
        <v>190.59</v>
      </c>
    </row>
    <row r="34" spans="1:7" x14ac:dyDescent="0.3">
      <c r="A34">
        <v>29</v>
      </c>
      <c r="B34" s="8">
        <v>280.21496055177676</v>
      </c>
      <c r="C34" s="8">
        <v>-119.97496055177675</v>
      </c>
      <c r="D34" s="8">
        <v>-1.3909645619936473</v>
      </c>
      <c r="F34" s="8">
        <v>14.321608040201003</v>
      </c>
      <c r="G34">
        <v>192.76</v>
      </c>
    </row>
    <row r="35" spans="1:7" x14ac:dyDescent="0.3">
      <c r="A35">
        <v>30</v>
      </c>
      <c r="B35" s="8">
        <v>508.16392186774226</v>
      </c>
      <c r="C35" s="8">
        <v>-181.75392186774224</v>
      </c>
      <c r="D35" s="8">
        <v>-2.1072168989152269</v>
      </c>
      <c r="F35" s="8">
        <v>14.824120603015075</v>
      </c>
      <c r="G35">
        <v>195.33</v>
      </c>
    </row>
    <row r="36" spans="1:7" x14ac:dyDescent="0.3">
      <c r="A36">
        <v>31</v>
      </c>
      <c r="B36" s="8">
        <v>358.12823139418526</v>
      </c>
      <c r="C36" s="8">
        <v>30.69176860581473</v>
      </c>
      <c r="D36" s="8">
        <v>0.35583393634185473</v>
      </c>
      <c r="F36" s="8">
        <v>15.326633165829143</v>
      </c>
      <c r="G36">
        <v>197.35</v>
      </c>
    </row>
    <row r="37" spans="1:7" x14ac:dyDescent="0.3">
      <c r="A37">
        <v>32</v>
      </c>
      <c r="B37" s="8">
        <v>298.64390583076266</v>
      </c>
      <c r="C37" s="8">
        <v>-44.663905830762673</v>
      </c>
      <c r="D37" s="8">
        <v>-0.51782396864386604</v>
      </c>
      <c r="F37" s="8">
        <v>15.829145728643216</v>
      </c>
      <c r="G37">
        <v>201.11</v>
      </c>
    </row>
    <row r="38" spans="1:7" x14ac:dyDescent="0.3">
      <c r="A38">
        <v>33</v>
      </c>
      <c r="B38" s="8">
        <v>338.71308660588778</v>
      </c>
      <c r="C38" s="8">
        <v>-120.93308660588778</v>
      </c>
      <c r="D38" s="8">
        <v>-1.4020728747704296</v>
      </c>
      <c r="F38" s="8">
        <v>16.331658291457284</v>
      </c>
      <c r="G38">
        <v>202.82</v>
      </c>
    </row>
    <row r="39" spans="1:7" x14ac:dyDescent="0.3">
      <c r="A39">
        <v>34</v>
      </c>
      <c r="B39" s="8">
        <v>420.49043452926446</v>
      </c>
      <c r="C39" s="8">
        <v>92.889565470735533</v>
      </c>
      <c r="D39" s="8">
        <v>1.0769421648863249</v>
      </c>
      <c r="F39" s="8">
        <v>16.834170854271353</v>
      </c>
      <c r="G39">
        <v>203.74</v>
      </c>
    </row>
    <row r="40" spans="1:7" x14ac:dyDescent="0.3">
      <c r="A40">
        <v>35</v>
      </c>
      <c r="B40" s="8">
        <v>164.80856032155515</v>
      </c>
      <c r="C40" s="8">
        <v>-13.648560321555152</v>
      </c>
      <c r="D40" s="8">
        <v>-0.15823854946235019</v>
      </c>
      <c r="F40" s="8">
        <v>17.336683417085425</v>
      </c>
      <c r="G40">
        <v>205</v>
      </c>
    </row>
    <row r="41" spans="1:7" x14ac:dyDescent="0.3">
      <c r="A41">
        <v>36</v>
      </c>
      <c r="B41" s="8">
        <v>294.15160913354271</v>
      </c>
      <c r="C41" s="8">
        <v>65.338390866457303</v>
      </c>
      <c r="D41" s="8">
        <v>0.75751961755144404</v>
      </c>
      <c r="F41" s="8">
        <v>17.839195979899497</v>
      </c>
      <c r="G41">
        <v>210.95</v>
      </c>
    </row>
    <row r="42" spans="1:7" x14ac:dyDescent="0.3">
      <c r="A42">
        <v>37</v>
      </c>
      <c r="B42" s="8">
        <v>493.89737024727418</v>
      </c>
      <c r="C42" s="8">
        <v>-25.057370247274207</v>
      </c>
      <c r="D42" s="8">
        <v>-0.29050990198634624</v>
      </c>
      <c r="F42" s="8">
        <v>18.341708542713565</v>
      </c>
      <c r="G42">
        <v>212.83</v>
      </c>
    </row>
    <row r="43" spans="1:7" x14ac:dyDescent="0.3">
      <c r="A43">
        <v>38</v>
      </c>
      <c r="B43" s="8">
        <v>270.34594624507167</v>
      </c>
      <c r="C43" s="8">
        <v>-40.355946245071664</v>
      </c>
      <c r="D43" s="8">
        <v>-0.46787838757729838</v>
      </c>
      <c r="F43" s="8">
        <v>18.844221105527634</v>
      </c>
      <c r="G43">
        <v>214.18</v>
      </c>
    </row>
    <row r="44" spans="1:7" x14ac:dyDescent="0.3">
      <c r="A44">
        <v>39</v>
      </c>
      <c r="B44" s="8">
        <v>202.72986173832197</v>
      </c>
      <c r="C44" s="8">
        <v>-5.3798617383219778</v>
      </c>
      <c r="D44" s="8">
        <v>-6.2372990097395713E-2</v>
      </c>
      <c r="F44" s="8">
        <v>19.346733668341706</v>
      </c>
      <c r="G44">
        <v>217.78</v>
      </c>
    </row>
    <row r="45" spans="1:7" x14ac:dyDescent="0.3">
      <c r="A45">
        <v>40</v>
      </c>
      <c r="B45" s="8">
        <v>403.05119836638477</v>
      </c>
      <c r="C45" s="8">
        <v>11.38880163361523</v>
      </c>
      <c r="D45" s="8">
        <v>0.13203938057639597</v>
      </c>
      <c r="F45" s="8">
        <v>19.849246231155778</v>
      </c>
      <c r="G45">
        <v>220.05</v>
      </c>
    </row>
    <row r="46" spans="1:7" x14ac:dyDescent="0.3">
      <c r="A46">
        <v>41</v>
      </c>
      <c r="B46" s="8">
        <v>359.10039247631801</v>
      </c>
      <c r="C46" s="8">
        <v>10.249607523682016</v>
      </c>
      <c r="D46" s="8">
        <v>0.11883180268796524</v>
      </c>
      <c r="F46" s="8">
        <v>20.351758793969847</v>
      </c>
      <c r="G46">
        <v>223.04</v>
      </c>
    </row>
    <row r="47" spans="1:7" x14ac:dyDescent="0.3">
      <c r="A47">
        <v>42</v>
      </c>
      <c r="B47" s="8">
        <v>194.30329582423985</v>
      </c>
      <c r="C47" s="8">
        <v>18.526704175760159</v>
      </c>
      <c r="D47" s="8">
        <v>0.21479472750400058</v>
      </c>
      <c r="F47" s="8">
        <v>20.854271356783915</v>
      </c>
      <c r="G47">
        <v>225.37</v>
      </c>
    </row>
    <row r="48" spans="1:7" x14ac:dyDescent="0.3">
      <c r="A48">
        <v>43</v>
      </c>
      <c r="B48" s="8">
        <v>294.12704188597979</v>
      </c>
      <c r="C48" s="8">
        <v>8.5829581140201867</v>
      </c>
      <c r="D48" s="8">
        <v>9.9509018538294552E-2</v>
      </c>
      <c r="F48" s="8">
        <v>21.356783919597987</v>
      </c>
      <c r="G48">
        <v>229.23</v>
      </c>
    </row>
    <row r="49" spans="1:7" x14ac:dyDescent="0.3">
      <c r="A49">
        <v>44</v>
      </c>
      <c r="B49" s="8">
        <v>429.73824843330704</v>
      </c>
      <c r="C49" s="8">
        <v>-64.628248433307022</v>
      </c>
      <c r="D49" s="8">
        <v>-0.74928637493200856</v>
      </c>
      <c r="F49" s="8">
        <v>21.859296482412059</v>
      </c>
      <c r="G49">
        <v>229.65</v>
      </c>
    </row>
    <row r="50" spans="1:7" x14ac:dyDescent="0.3">
      <c r="A50">
        <v>45</v>
      </c>
      <c r="B50" s="8">
        <v>299.6897686555842</v>
      </c>
      <c r="C50" s="8">
        <v>-85.509768655584196</v>
      </c>
      <c r="D50" s="8">
        <v>-0.99138234642604639</v>
      </c>
      <c r="F50" s="8">
        <v>22.361809045226128</v>
      </c>
      <c r="G50">
        <v>229.99</v>
      </c>
    </row>
    <row r="51" spans="1:7" x14ac:dyDescent="0.3">
      <c r="A51">
        <v>46</v>
      </c>
      <c r="B51" s="8">
        <v>429.09599038987642</v>
      </c>
      <c r="C51" s="8">
        <v>39.624009610123608</v>
      </c>
      <c r="D51" s="8">
        <v>0.45939246754735802</v>
      </c>
      <c r="F51" s="8">
        <v>22.864321608040196</v>
      </c>
      <c r="G51">
        <v>231.32</v>
      </c>
    </row>
    <row r="52" spans="1:7" x14ac:dyDescent="0.3">
      <c r="A52">
        <v>47</v>
      </c>
      <c r="B52" s="8">
        <v>350.53344229044779</v>
      </c>
      <c r="C52" s="8">
        <v>100.17655770955218</v>
      </c>
      <c r="D52" s="8">
        <v>1.1614260265279581</v>
      </c>
      <c r="F52" s="8">
        <v>23.366834170854268</v>
      </c>
      <c r="G52">
        <v>231.79</v>
      </c>
    </row>
    <row r="53" spans="1:7" x14ac:dyDescent="0.3">
      <c r="A53">
        <v>48</v>
      </c>
      <c r="B53" s="8">
        <v>415.55943698270653</v>
      </c>
      <c r="C53" s="8">
        <v>-83.239436982706536</v>
      </c>
      <c r="D53" s="8">
        <v>-0.96506059656740217</v>
      </c>
      <c r="F53" s="8">
        <v>23.86934673366834</v>
      </c>
      <c r="G53">
        <v>232.19</v>
      </c>
    </row>
    <row r="54" spans="1:7" x14ac:dyDescent="0.3">
      <c r="A54">
        <v>49</v>
      </c>
      <c r="B54" s="8">
        <v>271.17421344862163</v>
      </c>
      <c r="C54" s="8">
        <v>-96.694213448621639</v>
      </c>
      <c r="D54" s="8">
        <v>-1.12105245659854</v>
      </c>
      <c r="F54" s="8">
        <v>24.371859296482409</v>
      </c>
      <c r="G54">
        <v>232.33</v>
      </c>
    </row>
    <row r="55" spans="1:7" x14ac:dyDescent="0.3">
      <c r="A55">
        <v>50</v>
      </c>
      <c r="B55" s="8">
        <v>357.51755981190695</v>
      </c>
      <c r="C55" s="8">
        <v>-114.91755981190695</v>
      </c>
      <c r="D55" s="8">
        <v>-1.3323301171677753</v>
      </c>
      <c r="F55" s="8">
        <v>24.874371859296478</v>
      </c>
      <c r="G55">
        <v>236.44</v>
      </c>
    </row>
    <row r="56" spans="1:7" x14ac:dyDescent="0.3">
      <c r="A56">
        <v>51</v>
      </c>
      <c r="B56" s="8">
        <v>429.5171432052407</v>
      </c>
      <c r="C56" s="8">
        <v>122.46285679475932</v>
      </c>
      <c r="D56" s="8">
        <v>1.4198087099057648</v>
      </c>
      <c r="F56" s="8">
        <v>25.37688442211055</v>
      </c>
      <c r="G56">
        <v>242.31</v>
      </c>
    </row>
    <row r="57" spans="1:7" x14ac:dyDescent="0.3">
      <c r="A57">
        <v>52</v>
      </c>
      <c r="B57" s="8">
        <v>380.49144589003333</v>
      </c>
      <c r="C57" s="8">
        <v>-6.1445890033326123E-2</v>
      </c>
      <c r="D57" s="8">
        <v>-7.1239077823768082E-4</v>
      </c>
      <c r="F57" s="8">
        <v>25.879396984924622</v>
      </c>
      <c r="G57">
        <v>242.6</v>
      </c>
    </row>
    <row r="58" spans="1:7" x14ac:dyDescent="0.3">
      <c r="A58">
        <v>53</v>
      </c>
      <c r="B58" s="8">
        <v>329.94257922592476</v>
      </c>
      <c r="C58" s="8">
        <v>9.4974207740752377</v>
      </c>
      <c r="D58" s="8">
        <v>0.11011110707037687</v>
      </c>
      <c r="F58" s="8">
        <v>26.38190954773869</v>
      </c>
      <c r="G58">
        <v>245.45</v>
      </c>
    </row>
    <row r="59" spans="1:7" x14ac:dyDescent="0.3">
      <c r="A59">
        <v>54</v>
      </c>
      <c r="B59" s="8">
        <v>286.38835890365948</v>
      </c>
      <c r="C59" s="8">
        <v>-112.39835890365947</v>
      </c>
      <c r="D59" s="8">
        <v>-1.3031230295238314</v>
      </c>
      <c r="F59" s="8">
        <v>26.884422110552759</v>
      </c>
      <c r="G59">
        <v>253.98</v>
      </c>
    </row>
    <row r="60" spans="1:7" x14ac:dyDescent="0.3">
      <c r="A60">
        <v>55</v>
      </c>
      <c r="B60" s="8">
        <v>321.56865741376322</v>
      </c>
      <c r="C60" s="8">
        <v>-64.238657413763235</v>
      </c>
      <c r="D60" s="8">
        <v>-0.74476953825738834</v>
      </c>
      <c r="F60" s="8">
        <v>27.386934673366831</v>
      </c>
      <c r="G60">
        <v>255.24</v>
      </c>
    </row>
    <row r="61" spans="1:7" x14ac:dyDescent="0.3">
      <c r="A61">
        <v>56</v>
      </c>
      <c r="B61" s="8">
        <v>340.59774545464336</v>
      </c>
      <c r="C61" s="8">
        <v>48.702254545356652</v>
      </c>
      <c r="D61" s="8">
        <v>0.56464373774517496</v>
      </c>
      <c r="F61" s="8">
        <v>27.889447236180903</v>
      </c>
      <c r="G61">
        <v>255.79</v>
      </c>
    </row>
    <row r="62" spans="1:7" x14ac:dyDescent="0.3">
      <c r="A62">
        <v>57</v>
      </c>
      <c r="B62" s="8">
        <v>259.29770405534634</v>
      </c>
      <c r="C62" s="8">
        <v>-110.97770405534635</v>
      </c>
      <c r="D62" s="8">
        <v>-1.2866522547910053</v>
      </c>
      <c r="F62" s="8">
        <v>28.391959798994971</v>
      </c>
      <c r="G62">
        <v>257.33</v>
      </c>
    </row>
    <row r="63" spans="1:7" x14ac:dyDescent="0.3">
      <c r="A63">
        <v>58</v>
      </c>
      <c r="B63" s="8">
        <v>437.30847028948159</v>
      </c>
      <c r="C63" s="8">
        <v>12.271529710518394</v>
      </c>
      <c r="D63" s="8">
        <v>0.14227354499872319</v>
      </c>
      <c r="F63" s="8">
        <v>28.89447236180904</v>
      </c>
      <c r="G63">
        <v>257.42</v>
      </c>
    </row>
    <row r="64" spans="1:7" x14ac:dyDescent="0.3">
      <c r="A64">
        <v>59</v>
      </c>
      <c r="B64" s="8">
        <v>476.45462447759979</v>
      </c>
      <c r="C64" s="8">
        <v>203.72537552240016</v>
      </c>
      <c r="D64" s="8">
        <v>2.3619493303205763</v>
      </c>
      <c r="F64" s="8">
        <v>29.396984924623112</v>
      </c>
      <c r="G64">
        <v>257.45</v>
      </c>
    </row>
    <row r="65" spans="1:7" x14ac:dyDescent="0.3">
      <c r="A65">
        <v>60</v>
      </c>
      <c r="B65" s="8">
        <v>484.50566246464871</v>
      </c>
      <c r="C65" s="8">
        <v>13.484337535351301</v>
      </c>
      <c r="D65" s="8">
        <v>0.15633458487814983</v>
      </c>
      <c r="F65" s="8">
        <v>29.899497487437184</v>
      </c>
      <c r="G65">
        <v>258.24</v>
      </c>
    </row>
    <row r="66" spans="1:7" x14ac:dyDescent="0.3">
      <c r="A66">
        <v>61</v>
      </c>
      <c r="B66" s="8">
        <v>170.63801720755697</v>
      </c>
      <c r="C66" s="8">
        <v>49.411982792443041</v>
      </c>
      <c r="D66" s="8">
        <v>0.57287217837814342</v>
      </c>
      <c r="F66" s="8">
        <v>30.402010050251253</v>
      </c>
      <c r="G66">
        <v>261.27</v>
      </c>
    </row>
    <row r="67" spans="1:7" x14ac:dyDescent="0.3">
      <c r="A67">
        <v>62</v>
      </c>
      <c r="B67" s="8">
        <v>326.71725058159268</v>
      </c>
      <c r="C67" s="8">
        <v>-32.597250581592675</v>
      </c>
      <c r="D67" s="8">
        <v>-0.37792569523583597</v>
      </c>
      <c r="F67" s="8">
        <v>30.904522613065321</v>
      </c>
      <c r="G67">
        <v>263.32</v>
      </c>
    </row>
    <row r="68" spans="1:7" x14ac:dyDescent="0.3">
      <c r="A68">
        <v>63</v>
      </c>
      <c r="B68" s="8">
        <v>351.92324658115018</v>
      </c>
      <c r="C68" s="8">
        <v>-150.81324658115017</v>
      </c>
      <c r="D68" s="8">
        <v>-1.7484971906538613</v>
      </c>
      <c r="F68" s="8">
        <v>31.407035175879393</v>
      </c>
      <c r="G68">
        <v>264.44</v>
      </c>
    </row>
    <row r="69" spans="1:7" x14ac:dyDescent="0.3">
      <c r="A69">
        <v>64</v>
      </c>
      <c r="B69" s="8">
        <v>385.11359803865724</v>
      </c>
      <c r="C69" s="8">
        <v>-123.84359803865726</v>
      </c>
      <c r="D69" s="8">
        <v>-1.4358167346695339</v>
      </c>
      <c r="F69" s="8">
        <v>31.909547738693465</v>
      </c>
      <c r="G69">
        <v>265.26</v>
      </c>
    </row>
    <row r="70" spans="1:7" x14ac:dyDescent="0.3">
      <c r="A70">
        <v>65</v>
      </c>
      <c r="B70" s="8">
        <v>362.16076960129914</v>
      </c>
      <c r="C70" s="8">
        <v>-54.340769601299144</v>
      </c>
      <c r="D70" s="8">
        <v>-0.63001550022805486</v>
      </c>
      <c r="F70" s="8">
        <v>32.412060301507537</v>
      </c>
      <c r="G70">
        <v>268</v>
      </c>
    </row>
    <row r="71" spans="1:7" x14ac:dyDescent="0.3">
      <c r="A71">
        <v>66</v>
      </c>
      <c r="B71" s="8">
        <v>306.61773246832809</v>
      </c>
      <c r="C71" s="8">
        <v>26.432267531671926</v>
      </c>
      <c r="D71" s="8">
        <v>0.30645017310777906</v>
      </c>
      <c r="F71" s="8">
        <v>32.914572864321606</v>
      </c>
      <c r="G71">
        <v>268.97000000000003</v>
      </c>
    </row>
    <row r="72" spans="1:7" x14ac:dyDescent="0.3">
      <c r="A72">
        <v>67</v>
      </c>
      <c r="B72" s="8">
        <v>480.30817273818383</v>
      </c>
      <c r="C72" s="8">
        <v>-24.3381727381838</v>
      </c>
      <c r="D72" s="8">
        <v>-0.28217167671318905</v>
      </c>
      <c r="F72" s="8">
        <v>33.417085427135675</v>
      </c>
      <c r="G72">
        <v>271.04000000000002</v>
      </c>
    </row>
    <row r="73" spans="1:7" x14ac:dyDescent="0.3">
      <c r="A73">
        <v>68</v>
      </c>
      <c r="B73" s="8">
        <v>357.09289738974786</v>
      </c>
      <c r="C73" s="8">
        <v>-114.78289738974786</v>
      </c>
      <c r="D73" s="8">
        <v>-1.3307688692524264</v>
      </c>
      <c r="F73" s="8">
        <v>33.91959798994975</v>
      </c>
      <c r="G73">
        <v>271.88</v>
      </c>
    </row>
    <row r="74" spans="1:7" x14ac:dyDescent="0.3">
      <c r="A74">
        <v>69</v>
      </c>
      <c r="B74" s="8">
        <v>281.47841899786982</v>
      </c>
      <c r="C74" s="8">
        <v>62.581581002130179</v>
      </c>
      <c r="D74" s="8">
        <v>0.72555774144164809</v>
      </c>
      <c r="F74" s="8">
        <v>34.422110552763819</v>
      </c>
      <c r="G74">
        <v>273.41000000000003</v>
      </c>
    </row>
    <row r="75" spans="1:7" x14ac:dyDescent="0.3">
      <c r="A75">
        <v>70</v>
      </c>
      <c r="B75" s="8">
        <v>212.6374817197688</v>
      </c>
      <c r="C75" s="8">
        <v>-68.077481719768798</v>
      </c>
      <c r="D75" s="8">
        <v>-0.78927606315905052</v>
      </c>
      <c r="F75" s="8">
        <v>34.924623115577887</v>
      </c>
      <c r="G75">
        <v>275.77999999999997</v>
      </c>
    </row>
    <row r="76" spans="1:7" x14ac:dyDescent="0.3">
      <c r="A76">
        <v>71</v>
      </c>
      <c r="B76" s="8">
        <v>343.38437324963763</v>
      </c>
      <c r="C76" s="8">
        <v>98.155626750362387</v>
      </c>
      <c r="D76" s="8">
        <v>1.1379957763029065</v>
      </c>
      <c r="F76" s="8">
        <v>35.427135678391963</v>
      </c>
      <c r="G76">
        <v>285.33999999999997</v>
      </c>
    </row>
    <row r="77" spans="1:7" x14ac:dyDescent="0.3">
      <c r="A77">
        <v>72</v>
      </c>
      <c r="B77" s="8">
        <v>188.45980051105923</v>
      </c>
      <c r="C77" s="8">
        <v>-73.759800511059225</v>
      </c>
      <c r="D77" s="8">
        <v>-0.85515567697417261</v>
      </c>
      <c r="F77" s="8">
        <v>35.929648241206031</v>
      </c>
      <c r="G77">
        <v>286.68</v>
      </c>
    </row>
    <row r="78" spans="1:7" x14ac:dyDescent="0.3">
      <c r="A78">
        <v>73</v>
      </c>
      <c r="B78" s="8">
        <v>281.35207315326056</v>
      </c>
      <c r="C78" s="8">
        <v>-23.932073153260546</v>
      </c>
      <c r="D78" s="8">
        <v>-0.27746344318953808</v>
      </c>
      <c r="F78" s="8">
        <v>36.4321608040201</v>
      </c>
      <c r="G78">
        <v>293.27999999999997</v>
      </c>
    </row>
    <row r="79" spans="1:7" x14ac:dyDescent="0.3">
      <c r="A79">
        <v>74</v>
      </c>
      <c r="B79" s="8">
        <v>534.79832783274401</v>
      </c>
      <c r="C79" s="8">
        <v>-229.47832783274401</v>
      </c>
      <c r="D79" s="8">
        <v>-2.6605236650455422</v>
      </c>
      <c r="F79" s="8">
        <v>36.934673366834168</v>
      </c>
      <c r="G79">
        <v>294.12</v>
      </c>
    </row>
    <row r="80" spans="1:7" x14ac:dyDescent="0.3">
      <c r="A80">
        <v>75</v>
      </c>
      <c r="B80" s="8">
        <v>425.53022988645807</v>
      </c>
      <c r="C80" s="8">
        <v>-167.29022988645806</v>
      </c>
      <c r="D80" s="8">
        <v>-1.9395278837321333</v>
      </c>
      <c r="F80" s="8">
        <v>37.437185929648237</v>
      </c>
      <c r="G80">
        <v>297.27</v>
      </c>
    </row>
    <row r="81" spans="1:7" x14ac:dyDescent="0.3">
      <c r="A81">
        <v>76</v>
      </c>
      <c r="B81" s="8">
        <v>441.70249799644984</v>
      </c>
      <c r="C81" s="8">
        <v>-0.2324979964498084</v>
      </c>
      <c r="D81" s="8">
        <v>-2.6955330704746712E-3</v>
      </c>
      <c r="F81" s="8">
        <v>37.939698492462313</v>
      </c>
      <c r="G81">
        <v>297.69</v>
      </c>
    </row>
    <row r="82" spans="1:7" x14ac:dyDescent="0.3">
      <c r="A82">
        <v>77</v>
      </c>
      <c r="B82" s="8">
        <v>180.84395376655357</v>
      </c>
      <c r="C82" s="8">
        <v>-8.5839537665535772</v>
      </c>
      <c r="D82" s="8">
        <v>-9.9520561925211595E-2</v>
      </c>
      <c r="F82" s="8">
        <v>38.442211055276381</v>
      </c>
      <c r="G82">
        <v>298.38</v>
      </c>
    </row>
    <row r="83" spans="1:7" x14ac:dyDescent="0.3">
      <c r="A83">
        <v>78</v>
      </c>
      <c r="B83" s="8">
        <v>389.05839607590354</v>
      </c>
      <c r="C83" s="8">
        <v>111.04160392409648</v>
      </c>
      <c r="D83" s="8">
        <v>1.2873930964844611</v>
      </c>
      <c r="F83" s="8">
        <v>38.94472361809045</v>
      </c>
      <c r="G83">
        <v>300.58999999999997</v>
      </c>
    </row>
    <row r="84" spans="1:7" x14ac:dyDescent="0.3">
      <c r="A84">
        <v>79</v>
      </c>
      <c r="B84" s="8">
        <v>452.27694326889031</v>
      </c>
      <c r="C84" s="8">
        <v>128.88305673110966</v>
      </c>
      <c r="D84" s="8">
        <v>1.4942431631558928</v>
      </c>
      <c r="F84" s="8">
        <v>39.447236180904525</v>
      </c>
      <c r="G84">
        <v>300.85000000000002</v>
      </c>
    </row>
    <row r="85" spans="1:7" x14ac:dyDescent="0.3">
      <c r="A85">
        <v>80</v>
      </c>
      <c r="B85" s="8">
        <v>237.57323799613425</v>
      </c>
      <c r="C85" s="8">
        <v>34.306762003865742</v>
      </c>
      <c r="D85" s="8">
        <v>0.39774541258159823</v>
      </c>
      <c r="F85" s="8">
        <v>39.949748743718594</v>
      </c>
      <c r="G85">
        <v>301.75</v>
      </c>
    </row>
    <row r="86" spans="1:7" x14ac:dyDescent="0.3">
      <c r="A86">
        <v>81</v>
      </c>
      <c r="B86" s="8">
        <v>400.41197405676809</v>
      </c>
      <c r="C86" s="8">
        <v>-0.12197405676806738</v>
      </c>
      <c r="D86" s="8">
        <v>-1.4141416647831567E-3</v>
      </c>
      <c r="F86" s="8">
        <v>40.452261306532662</v>
      </c>
      <c r="G86">
        <v>302.70999999999998</v>
      </c>
    </row>
    <row r="87" spans="1:7" x14ac:dyDescent="0.3">
      <c r="A87">
        <v>82</v>
      </c>
      <c r="B87" s="8">
        <v>276.3087681892722</v>
      </c>
      <c r="C87" s="8">
        <v>-98.53876818927219</v>
      </c>
      <c r="D87" s="8">
        <v>-1.1424378378906224</v>
      </c>
      <c r="F87" s="8">
        <v>40.954773869346731</v>
      </c>
      <c r="G87">
        <v>304.18</v>
      </c>
    </row>
    <row r="88" spans="1:7" x14ac:dyDescent="0.3">
      <c r="A88">
        <v>83</v>
      </c>
      <c r="B88" s="8">
        <v>374.78833484864083</v>
      </c>
      <c r="C88" s="8">
        <v>32.071665151359184</v>
      </c>
      <c r="D88" s="8">
        <v>0.3718321678498489</v>
      </c>
      <c r="F88" s="8">
        <v>41.457286432160799</v>
      </c>
      <c r="G88">
        <v>305.32</v>
      </c>
    </row>
    <row r="89" spans="1:7" x14ac:dyDescent="0.3">
      <c r="A89">
        <v>84</v>
      </c>
      <c r="B89" s="8">
        <v>409.25618317941985</v>
      </c>
      <c r="C89" s="8">
        <v>116.74381682058015</v>
      </c>
      <c r="D89" s="8">
        <v>1.3535033583880602</v>
      </c>
      <c r="F89" s="8">
        <v>41.959798994974875</v>
      </c>
      <c r="G89">
        <v>305.8</v>
      </c>
    </row>
    <row r="90" spans="1:7" x14ac:dyDescent="0.3">
      <c r="A90">
        <v>85</v>
      </c>
      <c r="B90" s="8">
        <v>467.85959743737192</v>
      </c>
      <c r="C90" s="8">
        <v>-133.88959743737189</v>
      </c>
      <c r="D90" s="8">
        <v>-1.5522879474055533</v>
      </c>
      <c r="F90" s="8">
        <v>42.462311557788944</v>
      </c>
      <c r="G90">
        <v>307.72000000000003</v>
      </c>
    </row>
    <row r="91" spans="1:7" x14ac:dyDescent="0.3">
      <c r="A91">
        <v>86</v>
      </c>
      <c r="B91" s="8">
        <v>305.65610020657942</v>
      </c>
      <c r="C91" s="8">
        <v>0.14389979342058723</v>
      </c>
      <c r="D91" s="8">
        <v>1.668344062841863E-3</v>
      </c>
      <c r="F91" s="8">
        <v>42.964824120603012</v>
      </c>
      <c r="G91">
        <v>307.82</v>
      </c>
    </row>
    <row r="92" spans="1:7" x14ac:dyDescent="0.3">
      <c r="A92">
        <v>87</v>
      </c>
      <c r="B92" s="8">
        <v>505.80195649490707</v>
      </c>
      <c r="C92" s="8">
        <v>143.98804350509289</v>
      </c>
      <c r="D92" s="8">
        <v>1.6693672158362525</v>
      </c>
      <c r="F92" s="8">
        <v>43.467336683417088</v>
      </c>
      <c r="G92">
        <v>310.24</v>
      </c>
    </row>
    <row r="93" spans="1:7" x14ac:dyDescent="0.3">
      <c r="A93">
        <v>88</v>
      </c>
      <c r="B93" s="8">
        <v>404.14619568633213</v>
      </c>
      <c r="C93" s="8">
        <v>37.383804313667838</v>
      </c>
      <c r="D93" s="8">
        <v>0.43341999658650548</v>
      </c>
      <c r="F93" s="8">
        <v>43.969849246231156</v>
      </c>
      <c r="G93">
        <v>312.91000000000003</v>
      </c>
    </row>
    <row r="94" spans="1:7" x14ac:dyDescent="0.3">
      <c r="A94">
        <v>89</v>
      </c>
      <c r="B94" s="8">
        <v>442.80802413678134</v>
      </c>
      <c r="C94" s="8">
        <v>37.701975863218649</v>
      </c>
      <c r="D94" s="8">
        <v>0.43710881088595915</v>
      </c>
      <c r="F94" s="8">
        <v>44.472361809045225</v>
      </c>
      <c r="G94">
        <v>313.91000000000003</v>
      </c>
    </row>
    <row r="95" spans="1:7" x14ac:dyDescent="0.3">
      <c r="A95">
        <v>90</v>
      </c>
      <c r="B95" s="8">
        <v>385.62249102388921</v>
      </c>
      <c r="C95" s="8">
        <v>-38.632491023889202</v>
      </c>
      <c r="D95" s="8">
        <v>-0.4478970087477287</v>
      </c>
      <c r="F95" s="8">
        <v>44.974874371859293</v>
      </c>
      <c r="G95">
        <v>314.74</v>
      </c>
    </row>
    <row r="96" spans="1:7" x14ac:dyDescent="0.3">
      <c r="A96">
        <v>91</v>
      </c>
      <c r="B96" s="8">
        <v>254.42636982429846</v>
      </c>
      <c r="C96" s="8">
        <v>-25.196369824298472</v>
      </c>
      <c r="D96" s="8">
        <v>-0.29212143396671658</v>
      </c>
      <c r="F96" s="8">
        <v>45.477386934673362</v>
      </c>
      <c r="G96">
        <v>316.32</v>
      </c>
    </row>
    <row r="97" spans="1:7" x14ac:dyDescent="0.3">
      <c r="A97">
        <v>92</v>
      </c>
      <c r="B97" s="8">
        <v>306.25624296847366</v>
      </c>
      <c r="C97" s="8">
        <v>28.583757031526318</v>
      </c>
      <c r="D97" s="8">
        <v>0.33139409170575501</v>
      </c>
      <c r="F97" s="8">
        <v>45.979899497487438</v>
      </c>
      <c r="G97">
        <v>318.3</v>
      </c>
    </row>
    <row r="98" spans="1:7" x14ac:dyDescent="0.3">
      <c r="A98">
        <v>93</v>
      </c>
      <c r="B98" s="8">
        <v>405.7641244186903</v>
      </c>
      <c r="C98" s="8">
        <v>-173.97412441869031</v>
      </c>
      <c r="D98" s="8">
        <v>-2.0170195568919329</v>
      </c>
      <c r="F98" s="8">
        <v>46.482412060301506</v>
      </c>
      <c r="G98">
        <v>318.47000000000003</v>
      </c>
    </row>
    <row r="99" spans="1:7" x14ac:dyDescent="0.3">
      <c r="A99">
        <v>94</v>
      </c>
      <c r="B99" s="8">
        <v>338.15505912552999</v>
      </c>
      <c r="C99" s="8">
        <v>-9.6150591255299673</v>
      </c>
      <c r="D99" s="8">
        <v>-0.1114749814759389</v>
      </c>
      <c r="F99" s="8">
        <v>46.984924623115575</v>
      </c>
      <c r="G99">
        <v>326.41000000000003</v>
      </c>
    </row>
    <row r="100" spans="1:7" x14ac:dyDescent="0.3">
      <c r="A100">
        <v>95</v>
      </c>
      <c r="B100" s="8">
        <v>321.02115875378956</v>
      </c>
      <c r="C100" s="8">
        <v>45.968841246210445</v>
      </c>
      <c r="D100" s="8">
        <v>0.53295311651130772</v>
      </c>
      <c r="F100" s="8">
        <v>47.48743718592965</v>
      </c>
      <c r="G100">
        <v>327.92</v>
      </c>
    </row>
    <row r="101" spans="1:7" x14ac:dyDescent="0.3">
      <c r="A101">
        <v>96</v>
      </c>
      <c r="B101" s="8">
        <v>410.68810275165873</v>
      </c>
      <c r="C101" s="8">
        <v>-61.728102751658753</v>
      </c>
      <c r="D101" s="8">
        <v>-0.715662693380134</v>
      </c>
      <c r="F101" s="8">
        <v>47.989949748743719</v>
      </c>
      <c r="G101">
        <v>328.54</v>
      </c>
    </row>
    <row r="102" spans="1:7" x14ac:dyDescent="0.3">
      <c r="A102">
        <v>97</v>
      </c>
      <c r="B102" s="8">
        <v>422.21716107225831</v>
      </c>
      <c r="C102" s="8">
        <v>120.4028389277417</v>
      </c>
      <c r="D102" s="8">
        <v>1.3959252942587252</v>
      </c>
      <c r="F102" s="8">
        <v>48.492462311557787</v>
      </c>
      <c r="G102">
        <v>330.79</v>
      </c>
    </row>
    <row r="103" spans="1:7" x14ac:dyDescent="0.3">
      <c r="A103">
        <v>98</v>
      </c>
      <c r="B103" s="8">
        <v>289.24166922775305</v>
      </c>
      <c r="C103" s="8">
        <v>8.4483307722469476</v>
      </c>
      <c r="D103" s="8">
        <v>9.7948177337591119E-2</v>
      </c>
      <c r="F103" s="8">
        <v>48.994974874371856</v>
      </c>
      <c r="G103">
        <v>331.59</v>
      </c>
    </row>
    <row r="104" spans="1:7" x14ac:dyDescent="0.3">
      <c r="A104">
        <v>99</v>
      </c>
      <c r="B104" s="8">
        <v>315.65496996468852</v>
      </c>
      <c r="C104" s="8">
        <v>135.4450300353115</v>
      </c>
      <c r="D104" s="8">
        <v>1.5703213071362281</v>
      </c>
      <c r="F104" s="8">
        <v>49.497487437185924</v>
      </c>
      <c r="G104">
        <v>332.19</v>
      </c>
    </row>
    <row r="105" spans="1:7" x14ac:dyDescent="0.3">
      <c r="A105">
        <v>100</v>
      </c>
      <c r="B105" s="8">
        <v>204.67418390258752</v>
      </c>
      <c r="C105" s="8">
        <v>6.2758160974124735</v>
      </c>
      <c r="D105" s="8">
        <v>7.2760497264949889E-2</v>
      </c>
      <c r="F105" s="8">
        <v>50</v>
      </c>
      <c r="G105">
        <v>332.32</v>
      </c>
    </row>
    <row r="106" spans="1:7" x14ac:dyDescent="0.3">
      <c r="A106">
        <v>101</v>
      </c>
      <c r="B106" s="8">
        <v>346.53950975807572</v>
      </c>
      <c r="C106" s="8">
        <v>99.050490241924251</v>
      </c>
      <c r="D106" s="8">
        <v>1.148370636180833</v>
      </c>
      <c r="F106" s="8">
        <v>50.502512562814069</v>
      </c>
      <c r="G106">
        <v>333.05</v>
      </c>
    </row>
    <row r="107" spans="1:7" x14ac:dyDescent="0.3">
      <c r="A107">
        <v>102</v>
      </c>
      <c r="B107" s="8">
        <v>354.92746999741604</v>
      </c>
      <c r="C107" s="8">
        <v>-152.10746999741605</v>
      </c>
      <c r="D107" s="8">
        <v>-1.7635021458465849</v>
      </c>
      <c r="F107" s="8">
        <v>51.005025125628137</v>
      </c>
      <c r="G107">
        <v>333.36</v>
      </c>
    </row>
    <row r="108" spans="1:7" x14ac:dyDescent="0.3">
      <c r="A108">
        <v>103</v>
      </c>
      <c r="B108" s="8">
        <v>323.76216166045265</v>
      </c>
      <c r="C108" s="8">
        <v>-92.442161660452655</v>
      </c>
      <c r="D108" s="8">
        <v>-1.0717550588256746</v>
      </c>
      <c r="F108" s="8">
        <v>51.507537688442213</v>
      </c>
      <c r="G108">
        <v>333.85</v>
      </c>
    </row>
    <row r="109" spans="1:7" x14ac:dyDescent="0.3">
      <c r="A109">
        <v>104</v>
      </c>
      <c r="B109" s="8">
        <v>450.54670711910165</v>
      </c>
      <c r="C109" s="8">
        <v>-0.25670711910163391</v>
      </c>
      <c r="D109" s="8">
        <v>-2.9762085675181936E-3</v>
      </c>
      <c r="F109" s="8">
        <v>52.010050251256281</v>
      </c>
      <c r="G109">
        <v>333.97</v>
      </c>
    </row>
    <row r="110" spans="1:7" x14ac:dyDescent="0.3">
      <c r="A110">
        <v>105</v>
      </c>
      <c r="B110" s="8">
        <v>336.51256314560896</v>
      </c>
      <c r="C110" s="8">
        <v>-28.792563145608938</v>
      </c>
      <c r="D110" s="8">
        <v>-0.33381494605470213</v>
      </c>
      <c r="F110" s="8">
        <v>52.51256281407035</v>
      </c>
      <c r="G110">
        <v>334.84</v>
      </c>
    </row>
    <row r="111" spans="1:7" x14ac:dyDescent="0.3">
      <c r="A111">
        <v>106</v>
      </c>
      <c r="B111" s="8">
        <v>378.45938355590027</v>
      </c>
      <c r="C111" s="8">
        <v>-10.869383555900299</v>
      </c>
      <c r="D111" s="8">
        <v>-0.12601735618366003</v>
      </c>
      <c r="F111" s="8">
        <v>53.015075376884418</v>
      </c>
      <c r="G111">
        <v>335.04</v>
      </c>
    </row>
    <row r="112" spans="1:7" x14ac:dyDescent="0.3">
      <c r="A112">
        <v>107</v>
      </c>
      <c r="B112" s="8">
        <v>674.15077522322485</v>
      </c>
      <c r="C112" s="8">
        <v>95.309224776775181</v>
      </c>
      <c r="D112" s="8">
        <v>1.1049951880448263</v>
      </c>
      <c r="F112" s="8">
        <v>53.517587939698487</v>
      </c>
      <c r="G112">
        <v>336.24</v>
      </c>
    </row>
    <row r="113" spans="1:7" x14ac:dyDescent="0.3">
      <c r="A113">
        <v>108</v>
      </c>
      <c r="B113" s="8">
        <v>254.77031129017936</v>
      </c>
      <c r="C113" s="8">
        <v>73.149688709820651</v>
      </c>
      <c r="D113" s="8">
        <v>0.84808216854813134</v>
      </c>
      <c r="F113" s="8">
        <v>54.020100502512562</v>
      </c>
      <c r="G113">
        <v>339.44</v>
      </c>
    </row>
    <row r="114" spans="1:7" x14ac:dyDescent="0.3">
      <c r="A114">
        <v>109</v>
      </c>
      <c r="B114" s="8">
        <v>455.93395354897092</v>
      </c>
      <c r="C114" s="8">
        <v>97.366046451029035</v>
      </c>
      <c r="D114" s="8">
        <v>1.1288415477024556</v>
      </c>
      <c r="F114" s="8">
        <v>54.522613065326631</v>
      </c>
      <c r="G114">
        <v>341.12</v>
      </c>
    </row>
    <row r="115" spans="1:7" x14ac:dyDescent="0.3">
      <c r="A115">
        <v>110</v>
      </c>
      <c r="B115" s="8">
        <v>343.02639335657784</v>
      </c>
      <c r="C115" s="8">
        <v>9.8336066434221721</v>
      </c>
      <c r="D115" s="8">
        <v>0.114008775620164</v>
      </c>
      <c r="F115" s="8">
        <v>55.0251256281407</v>
      </c>
      <c r="G115">
        <v>343.6</v>
      </c>
    </row>
    <row r="116" spans="1:7" x14ac:dyDescent="0.3">
      <c r="A116">
        <v>111</v>
      </c>
      <c r="B116" s="8">
        <v>243.84139573147397</v>
      </c>
      <c r="C116" s="8">
        <v>70.068604268526059</v>
      </c>
      <c r="D116" s="8">
        <v>0.81236072091738809</v>
      </c>
      <c r="F116" s="8">
        <v>55.527638190954775</v>
      </c>
      <c r="G116">
        <v>344.06</v>
      </c>
    </row>
    <row r="117" spans="1:7" x14ac:dyDescent="0.3">
      <c r="A117">
        <v>112</v>
      </c>
      <c r="B117" s="8">
        <v>417.93193117592585</v>
      </c>
      <c r="C117" s="8">
        <v>-62.831931175925831</v>
      </c>
      <c r="D117" s="8">
        <v>-0.72846024891685102</v>
      </c>
      <c r="F117" s="8">
        <v>56.030150753768844</v>
      </c>
      <c r="G117">
        <v>344.41</v>
      </c>
    </row>
    <row r="118" spans="1:7" x14ac:dyDescent="0.3">
      <c r="A118">
        <v>113</v>
      </c>
      <c r="B118" s="8">
        <v>269.61945763856812</v>
      </c>
      <c r="C118" s="8">
        <v>-76.859457638568131</v>
      </c>
      <c r="D118" s="8">
        <v>-0.89109245243854318</v>
      </c>
      <c r="F118" s="8">
        <v>56.532663316582912</v>
      </c>
      <c r="G118">
        <v>344.91</v>
      </c>
    </row>
    <row r="119" spans="1:7" x14ac:dyDescent="0.3">
      <c r="A119">
        <v>114</v>
      </c>
      <c r="B119" s="8">
        <v>231.0383501443971</v>
      </c>
      <c r="C119" s="8">
        <v>33.401649855602898</v>
      </c>
      <c r="D119" s="8">
        <v>0.38725173192462292</v>
      </c>
      <c r="F119" s="8">
        <v>57.035175879396981</v>
      </c>
      <c r="G119">
        <v>346.99</v>
      </c>
    </row>
    <row r="120" spans="1:7" x14ac:dyDescent="0.3">
      <c r="A120">
        <v>115</v>
      </c>
      <c r="B120" s="8">
        <v>240.77399939290348</v>
      </c>
      <c r="C120" s="8">
        <v>-68.563999392903469</v>
      </c>
      <c r="D120" s="8">
        <v>-0.79491664715259047</v>
      </c>
      <c r="F120" s="8">
        <v>57.537688442211049</v>
      </c>
      <c r="G120">
        <v>348.96</v>
      </c>
    </row>
    <row r="121" spans="1:7" x14ac:dyDescent="0.3">
      <c r="A121">
        <v>116</v>
      </c>
      <c r="B121" s="8">
        <v>437.40673927973324</v>
      </c>
      <c r="C121" s="8">
        <v>37.25326072026678</v>
      </c>
      <c r="D121" s="8">
        <v>0.43190650150902377</v>
      </c>
      <c r="F121" s="8">
        <v>58.040201005025125</v>
      </c>
      <c r="G121">
        <v>350.22</v>
      </c>
    </row>
    <row r="122" spans="1:7" x14ac:dyDescent="0.3">
      <c r="A122">
        <v>117</v>
      </c>
      <c r="B122" s="8">
        <v>354.97309488574723</v>
      </c>
      <c r="C122" s="8">
        <v>78.606905114252754</v>
      </c>
      <c r="D122" s="8">
        <v>0.91135199244125553</v>
      </c>
      <c r="F122" s="8">
        <v>58.542713567839193</v>
      </c>
      <c r="G122">
        <v>352.65</v>
      </c>
    </row>
    <row r="123" spans="1:7" x14ac:dyDescent="0.3">
      <c r="A123">
        <v>118</v>
      </c>
      <c r="B123" s="8">
        <v>353.69559801247527</v>
      </c>
      <c r="C123" s="8">
        <v>-10.09559801247525</v>
      </c>
      <c r="D123" s="8">
        <v>-0.11704624867474991</v>
      </c>
      <c r="F123" s="8">
        <v>59.045226130653262</v>
      </c>
      <c r="G123">
        <v>352.86</v>
      </c>
    </row>
    <row r="124" spans="1:7" x14ac:dyDescent="0.3">
      <c r="A124">
        <v>119</v>
      </c>
      <c r="B124" s="8">
        <v>334.99290340350251</v>
      </c>
      <c r="C124" s="8">
        <v>-16.692903403502498</v>
      </c>
      <c r="D124" s="8">
        <v>-0.19353402546887735</v>
      </c>
      <c r="F124" s="8">
        <v>59.547738693467338</v>
      </c>
      <c r="G124">
        <v>355.1</v>
      </c>
    </row>
    <row r="125" spans="1:7" x14ac:dyDescent="0.3">
      <c r="A125">
        <v>120</v>
      </c>
      <c r="B125" s="8">
        <v>377.32929016800585</v>
      </c>
      <c r="C125" s="8">
        <v>-18.91929016800583</v>
      </c>
      <c r="D125" s="8">
        <v>-0.21934628726478231</v>
      </c>
      <c r="F125" s="8">
        <v>60.050251256281406</v>
      </c>
      <c r="G125">
        <v>356.5</v>
      </c>
    </row>
    <row r="126" spans="1:7" x14ac:dyDescent="0.3">
      <c r="A126">
        <v>121</v>
      </c>
      <c r="B126" s="8">
        <v>407.19253438413443</v>
      </c>
      <c r="C126" s="8">
        <v>174.30746561586557</v>
      </c>
      <c r="D126" s="8">
        <v>2.020884244908423</v>
      </c>
      <c r="F126" s="8">
        <v>60.552763819095475</v>
      </c>
      <c r="G126">
        <v>356.85</v>
      </c>
    </row>
    <row r="127" spans="1:7" x14ac:dyDescent="0.3">
      <c r="A127">
        <v>122</v>
      </c>
      <c r="B127" s="8">
        <v>355.0924215167671</v>
      </c>
      <c r="C127" s="8">
        <v>55.807578483232874</v>
      </c>
      <c r="D127" s="8">
        <v>0.6470213751589895</v>
      </c>
      <c r="F127" s="8">
        <v>61.055276381909543</v>
      </c>
      <c r="G127">
        <v>358.41</v>
      </c>
    </row>
    <row r="128" spans="1:7" x14ac:dyDescent="0.3">
      <c r="A128">
        <v>123</v>
      </c>
      <c r="B128" s="8">
        <v>251.02556084023115</v>
      </c>
      <c r="C128" s="8">
        <v>-71.51556084023116</v>
      </c>
      <c r="D128" s="8">
        <v>-0.82913643232191092</v>
      </c>
      <c r="F128" s="8">
        <v>61.557788944723612</v>
      </c>
      <c r="G128">
        <v>359.49</v>
      </c>
    </row>
    <row r="129" spans="1:7" x14ac:dyDescent="0.3">
      <c r="A129">
        <v>124</v>
      </c>
      <c r="B129" s="8">
        <v>447.49685881450466</v>
      </c>
      <c r="C129" s="8">
        <v>63.643141185495324</v>
      </c>
      <c r="D129" s="8">
        <v>0.73786524784709639</v>
      </c>
      <c r="F129" s="8">
        <v>62.060301507537687</v>
      </c>
      <c r="G129">
        <v>365.11</v>
      </c>
    </row>
    <row r="130" spans="1:7" x14ac:dyDescent="0.3">
      <c r="A130">
        <v>125</v>
      </c>
      <c r="B130" s="8">
        <v>247.05619555542199</v>
      </c>
      <c r="C130" s="8">
        <v>-96.876195555421987</v>
      </c>
      <c r="D130" s="8">
        <v>-1.1231623190257669</v>
      </c>
      <c r="F130" s="8">
        <v>62.562814070351756</v>
      </c>
      <c r="G130">
        <v>366.99</v>
      </c>
    </row>
    <row r="131" spans="1:7" x14ac:dyDescent="0.3">
      <c r="A131">
        <v>126</v>
      </c>
      <c r="B131" s="8">
        <v>494.08337940739341</v>
      </c>
      <c r="C131" s="8">
        <v>-141.43337940739343</v>
      </c>
      <c r="D131" s="8">
        <v>-1.6397489754021255</v>
      </c>
      <c r="F131" s="8">
        <v>63.065326633165824</v>
      </c>
      <c r="G131">
        <v>367.59</v>
      </c>
    </row>
    <row r="132" spans="1:7" x14ac:dyDescent="0.3">
      <c r="A132">
        <v>127</v>
      </c>
      <c r="B132" s="8">
        <v>472.93448886251264</v>
      </c>
      <c r="C132" s="8">
        <v>-0.31448886251263275</v>
      </c>
      <c r="D132" s="8">
        <v>-3.6461179973297881E-3</v>
      </c>
      <c r="F132" s="8">
        <v>63.5678391959799</v>
      </c>
      <c r="G132">
        <v>369.35</v>
      </c>
    </row>
    <row r="133" spans="1:7" x14ac:dyDescent="0.3">
      <c r="A133">
        <v>128</v>
      </c>
      <c r="B133" s="8">
        <v>321.61779190888905</v>
      </c>
      <c r="C133" s="8">
        <v>-126.28779190888903</v>
      </c>
      <c r="D133" s="8">
        <v>-1.4641542064261281</v>
      </c>
      <c r="F133" s="8">
        <v>64.070351758793961</v>
      </c>
      <c r="G133">
        <v>374.75</v>
      </c>
    </row>
    <row r="134" spans="1:7" x14ac:dyDescent="0.3">
      <c r="A134">
        <v>129</v>
      </c>
      <c r="B134" s="8">
        <v>89.748599803240225</v>
      </c>
      <c r="C134" s="8">
        <v>-25.11859980324023</v>
      </c>
      <c r="D134" s="8">
        <v>-0.29121978463272219</v>
      </c>
      <c r="F134" s="8">
        <v>64.572864321608037</v>
      </c>
      <c r="G134">
        <v>379.09</v>
      </c>
    </row>
    <row r="135" spans="1:7" x14ac:dyDescent="0.3">
      <c r="A135">
        <v>130</v>
      </c>
      <c r="B135" s="8">
        <v>424.90551987700093</v>
      </c>
      <c r="C135" s="8">
        <v>36.214480122999078</v>
      </c>
      <c r="D135" s="8">
        <v>0.41986309685324641</v>
      </c>
      <c r="F135" s="8">
        <v>65.075376884422113</v>
      </c>
      <c r="G135">
        <v>380.43</v>
      </c>
    </row>
    <row r="136" spans="1:7" x14ac:dyDescent="0.3">
      <c r="A136">
        <v>131</v>
      </c>
      <c r="B136" s="8">
        <v>402.72480493447739</v>
      </c>
      <c r="C136" s="8">
        <v>34.385195065522623</v>
      </c>
      <c r="D136" s="8">
        <v>0.39865474906940895</v>
      </c>
      <c r="F136" s="8">
        <v>65.577889447236174</v>
      </c>
      <c r="G136">
        <v>380.75</v>
      </c>
    </row>
    <row r="137" spans="1:7" x14ac:dyDescent="0.3">
      <c r="A137">
        <v>132</v>
      </c>
      <c r="B137" s="8">
        <v>298.69304032588849</v>
      </c>
      <c r="C137" s="8">
        <v>-29.723040325888462</v>
      </c>
      <c r="D137" s="8">
        <v>-0.34460270357977368</v>
      </c>
      <c r="F137" s="8">
        <v>66.08040201005025</v>
      </c>
      <c r="G137">
        <v>381.07</v>
      </c>
    </row>
    <row r="138" spans="1:7" x14ac:dyDescent="0.3">
      <c r="A138">
        <v>133</v>
      </c>
      <c r="B138" s="8">
        <v>371.40507389854702</v>
      </c>
      <c r="C138" s="8">
        <v>-106.14507389854703</v>
      </c>
      <c r="D138" s="8">
        <v>-1.230623753023516</v>
      </c>
      <c r="F138" s="8">
        <v>66.582914572864311</v>
      </c>
      <c r="G138">
        <v>388.82</v>
      </c>
    </row>
    <row r="139" spans="1:7" x14ac:dyDescent="0.3">
      <c r="A139">
        <v>134</v>
      </c>
      <c r="B139" s="8">
        <v>312.97363037353534</v>
      </c>
      <c r="C139" s="8">
        <v>-134.06363037353535</v>
      </c>
      <c r="D139" s="8">
        <v>-1.554305648813495</v>
      </c>
      <c r="F139" s="8">
        <v>67.085427135678387</v>
      </c>
      <c r="G139">
        <v>389.3</v>
      </c>
    </row>
    <row r="140" spans="1:7" x14ac:dyDescent="0.3">
      <c r="A140">
        <v>135</v>
      </c>
      <c r="B140" s="8">
        <v>291.69137477045581</v>
      </c>
      <c r="C140" s="8">
        <v>64.808625229544191</v>
      </c>
      <c r="D140" s="8">
        <v>0.75137762572482358</v>
      </c>
      <c r="F140" s="8">
        <v>67.587939698492463</v>
      </c>
      <c r="G140">
        <v>395.31</v>
      </c>
    </row>
    <row r="141" spans="1:7" x14ac:dyDescent="0.3">
      <c r="A141">
        <v>136</v>
      </c>
      <c r="B141" s="8">
        <v>286.87619424812323</v>
      </c>
      <c r="C141" s="8">
        <v>-57.226194248123221</v>
      </c>
      <c r="D141" s="8">
        <v>-0.66346850918573008</v>
      </c>
      <c r="F141" s="8">
        <v>68.090452261306524</v>
      </c>
      <c r="G141">
        <v>397.06</v>
      </c>
    </row>
    <row r="142" spans="1:7" x14ac:dyDescent="0.3">
      <c r="A142">
        <v>137</v>
      </c>
      <c r="B142" s="8">
        <v>178.6223726655065</v>
      </c>
      <c r="C142" s="8">
        <v>-57.082372665506497</v>
      </c>
      <c r="D142" s="8">
        <v>-0.66180107188256576</v>
      </c>
      <c r="F142" s="8">
        <v>68.5929648241206</v>
      </c>
      <c r="G142">
        <v>398.25</v>
      </c>
    </row>
    <row r="143" spans="1:7" x14ac:dyDescent="0.3">
      <c r="A143">
        <v>138</v>
      </c>
      <c r="B143" s="8">
        <v>281.90659102682361</v>
      </c>
      <c r="C143" s="8">
        <v>-13.906591026823605</v>
      </c>
      <c r="D143" s="8">
        <v>-0.16123010341064054</v>
      </c>
      <c r="F143" s="8">
        <v>69.095477386934675</v>
      </c>
      <c r="G143">
        <v>400.29</v>
      </c>
    </row>
    <row r="144" spans="1:7" x14ac:dyDescent="0.3">
      <c r="A144">
        <v>139</v>
      </c>
      <c r="B144" s="8">
        <v>501.76239907420381</v>
      </c>
      <c r="C144" s="8">
        <v>-75.602399074203788</v>
      </c>
      <c r="D144" s="8">
        <v>-0.87651837875400285</v>
      </c>
      <c r="F144" s="8">
        <v>69.597989949748737</v>
      </c>
      <c r="G144">
        <v>404.39</v>
      </c>
    </row>
    <row r="145" spans="1:7" x14ac:dyDescent="0.3">
      <c r="A145">
        <v>140</v>
      </c>
      <c r="B145" s="8">
        <v>521.45480279928279</v>
      </c>
      <c r="C145" s="8">
        <v>-205.1348027992828</v>
      </c>
      <c r="D145" s="8">
        <v>-2.3782899349420288</v>
      </c>
      <c r="F145" s="8">
        <v>70.100502512562812</v>
      </c>
      <c r="G145">
        <v>406.86</v>
      </c>
    </row>
    <row r="146" spans="1:7" x14ac:dyDescent="0.3">
      <c r="A146">
        <v>141</v>
      </c>
      <c r="B146" s="8">
        <v>431.145600757983</v>
      </c>
      <c r="C146" s="8">
        <v>61.354399242016996</v>
      </c>
      <c r="D146" s="8">
        <v>0.71133005316742892</v>
      </c>
      <c r="F146" s="8">
        <v>70.603015075376888</v>
      </c>
      <c r="G146">
        <v>410.87</v>
      </c>
    </row>
    <row r="147" spans="1:7" x14ac:dyDescent="0.3">
      <c r="A147">
        <v>142</v>
      </c>
      <c r="B147" s="8">
        <v>406.72224707364421</v>
      </c>
      <c r="C147" s="8">
        <v>-174.3922470736442</v>
      </c>
      <c r="D147" s="8">
        <v>-2.0218671833710977</v>
      </c>
      <c r="F147" s="8">
        <v>71.105527638190949</v>
      </c>
      <c r="G147">
        <v>410.9</v>
      </c>
    </row>
    <row r="148" spans="1:7" x14ac:dyDescent="0.3">
      <c r="A148">
        <v>143</v>
      </c>
      <c r="B148" s="8">
        <v>135.27521914412867</v>
      </c>
      <c r="C148" s="8">
        <v>30.694780855871329</v>
      </c>
      <c r="D148" s="8">
        <v>0.35586885973804777</v>
      </c>
      <c r="F148" s="8">
        <v>71.608040201005025</v>
      </c>
      <c r="G148">
        <v>413.36</v>
      </c>
    </row>
    <row r="149" spans="1:7" x14ac:dyDescent="0.3">
      <c r="A149">
        <v>144</v>
      </c>
      <c r="B149" s="8">
        <v>556.84567771706884</v>
      </c>
      <c r="C149" s="8">
        <v>118.65432228293116</v>
      </c>
      <c r="D149" s="8">
        <v>1.3756533585331212</v>
      </c>
      <c r="F149" s="8">
        <v>72.110552763819086</v>
      </c>
      <c r="G149">
        <v>414.44</v>
      </c>
    </row>
    <row r="150" spans="1:7" x14ac:dyDescent="0.3">
      <c r="A150">
        <v>145</v>
      </c>
      <c r="B150" s="8">
        <v>117.17617690384486</v>
      </c>
      <c r="C150" s="8">
        <v>17.483823096155135</v>
      </c>
      <c r="D150" s="8">
        <v>0.2027037827149149</v>
      </c>
      <c r="F150" s="8">
        <v>72.613065326633162</v>
      </c>
      <c r="G150">
        <v>422.92</v>
      </c>
    </row>
    <row r="151" spans="1:7" x14ac:dyDescent="0.3">
      <c r="A151">
        <v>146</v>
      </c>
      <c r="B151" s="8">
        <v>474.14881281347988</v>
      </c>
      <c r="C151" s="8">
        <v>13.211187186520135</v>
      </c>
      <c r="D151" s="8">
        <v>0.15316773694944069</v>
      </c>
      <c r="F151" s="8">
        <v>73.115577889447238</v>
      </c>
      <c r="G151">
        <v>426.16</v>
      </c>
    </row>
    <row r="152" spans="1:7" x14ac:dyDescent="0.3">
      <c r="A152">
        <v>147</v>
      </c>
      <c r="B152" s="8">
        <v>231.57181037719195</v>
      </c>
      <c r="C152" s="8">
        <v>83.168189622808057</v>
      </c>
      <c r="D152" s="8">
        <v>0.96423456960062004</v>
      </c>
      <c r="F152" s="8">
        <v>73.618090452261299</v>
      </c>
      <c r="G152">
        <v>433.58</v>
      </c>
    </row>
    <row r="153" spans="1:7" x14ac:dyDescent="0.3">
      <c r="A153">
        <v>148</v>
      </c>
      <c r="B153" s="8">
        <v>107.61600799507364</v>
      </c>
      <c r="C153" s="8">
        <v>3.773992004926356</v>
      </c>
      <c r="D153" s="8">
        <v>4.3754872783095693E-2</v>
      </c>
      <c r="F153" s="8">
        <v>74.120603015075375</v>
      </c>
      <c r="G153">
        <v>437.11</v>
      </c>
    </row>
    <row r="154" spans="1:7" x14ac:dyDescent="0.3">
      <c r="A154">
        <v>149</v>
      </c>
      <c r="B154" s="8">
        <v>309.49210043318988</v>
      </c>
      <c r="C154" s="8">
        <v>8.9778995668101516</v>
      </c>
      <c r="D154" s="8">
        <v>0.10408788701523854</v>
      </c>
      <c r="F154" s="8">
        <v>74.623115577889436</v>
      </c>
      <c r="G154">
        <v>439.88</v>
      </c>
    </row>
    <row r="155" spans="1:7" x14ac:dyDescent="0.3">
      <c r="A155">
        <v>150</v>
      </c>
      <c r="B155" s="8">
        <v>260.5050087927242</v>
      </c>
      <c r="C155" s="8">
        <v>41.244991207275802</v>
      </c>
      <c r="D155" s="8">
        <v>0.47818578864463407</v>
      </c>
      <c r="F155" s="8">
        <v>75.125628140703512</v>
      </c>
      <c r="G155">
        <v>440.51</v>
      </c>
    </row>
    <row r="156" spans="1:7" x14ac:dyDescent="0.3">
      <c r="A156">
        <v>151</v>
      </c>
      <c r="B156" s="8">
        <v>304.43826664881743</v>
      </c>
      <c r="C156" s="8">
        <v>108.92173335118258</v>
      </c>
      <c r="D156" s="8">
        <v>1.2628157611023514</v>
      </c>
      <c r="F156" s="8">
        <v>75.628140703517587</v>
      </c>
      <c r="G156">
        <v>440.95</v>
      </c>
    </row>
    <row r="157" spans="1:7" x14ac:dyDescent="0.3">
      <c r="A157">
        <v>152</v>
      </c>
      <c r="B157" s="8">
        <v>301.61654278587616</v>
      </c>
      <c r="C157" s="8">
        <v>-14.936542785876156</v>
      </c>
      <c r="D157" s="8">
        <v>-0.1731711483654905</v>
      </c>
      <c r="F157" s="8">
        <v>76.130653266331649</v>
      </c>
      <c r="G157">
        <v>441.47</v>
      </c>
    </row>
    <row r="158" spans="1:7" x14ac:dyDescent="0.3">
      <c r="A158">
        <v>153</v>
      </c>
      <c r="B158" s="8">
        <v>410.05988313540689</v>
      </c>
      <c r="C158" s="8">
        <v>146.25011686459305</v>
      </c>
      <c r="D158" s="8">
        <v>1.6955932205394317</v>
      </c>
      <c r="F158" s="8">
        <v>76.633165829145725</v>
      </c>
      <c r="G158">
        <v>441.53</v>
      </c>
    </row>
    <row r="159" spans="1:7" x14ac:dyDescent="0.3">
      <c r="A159">
        <v>154</v>
      </c>
      <c r="B159" s="8">
        <v>369.1308486955794</v>
      </c>
      <c r="C159" s="8">
        <v>-36.940848695579405</v>
      </c>
      <c r="D159" s="8">
        <v>-0.42828446193441361</v>
      </c>
      <c r="F159" s="8">
        <v>77.1356783919598</v>
      </c>
      <c r="G159">
        <v>441.54</v>
      </c>
    </row>
    <row r="160" spans="1:7" x14ac:dyDescent="0.3">
      <c r="A160">
        <v>155</v>
      </c>
      <c r="B160" s="8">
        <v>589.06035848564829</v>
      </c>
      <c r="C160" s="8">
        <v>-252.82035848564828</v>
      </c>
      <c r="D160" s="8">
        <v>-2.9311462790796372</v>
      </c>
      <c r="F160" s="8">
        <v>77.638190954773862</v>
      </c>
      <c r="G160">
        <v>443.99</v>
      </c>
    </row>
    <row r="161" spans="1:7" x14ac:dyDescent="0.3">
      <c r="A161">
        <v>156</v>
      </c>
      <c r="B161" s="8">
        <v>132.30609179580983</v>
      </c>
      <c r="C161" s="8">
        <v>48.083908204190152</v>
      </c>
      <c r="D161" s="8">
        <v>0.55747475978806316</v>
      </c>
      <c r="F161" s="8">
        <v>78.140703517587937</v>
      </c>
      <c r="G161">
        <v>445.59</v>
      </c>
    </row>
    <row r="162" spans="1:7" x14ac:dyDescent="0.3">
      <c r="A162">
        <v>157</v>
      </c>
      <c r="B162" s="8">
        <v>376.77126268764806</v>
      </c>
      <c r="C162" s="8">
        <v>107.57873731235196</v>
      </c>
      <c r="D162" s="8">
        <v>1.2472453463398054</v>
      </c>
      <c r="F162" s="8">
        <v>78.643216080402013</v>
      </c>
      <c r="G162">
        <v>447.34</v>
      </c>
    </row>
    <row r="163" spans="1:7" x14ac:dyDescent="0.3">
      <c r="A163">
        <v>158</v>
      </c>
      <c r="B163" s="8">
        <v>437.97178597368048</v>
      </c>
      <c r="C163" s="8">
        <v>124.84821402631957</v>
      </c>
      <c r="D163" s="8">
        <v>1.4474640419978613</v>
      </c>
      <c r="F163" s="8">
        <v>79.145728643216074</v>
      </c>
      <c r="G163">
        <v>449.58</v>
      </c>
    </row>
    <row r="164" spans="1:7" x14ac:dyDescent="0.3">
      <c r="A164">
        <v>159</v>
      </c>
      <c r="B164" s="8">
        <v>391.51512083219569</v>
      </c>
      <c r="C164" s="8">
        <v>55.824879167804283</v>
      </c>
      <c r="D164" s="8">
        <v>0.6472219556720098</v>
      </c>
      <c r="F164" s="8">
        <v>79.64824120603015</v>
      </c>
      <c r="G164">
        <v>450.29</v>
      </c>
    </row>
    <row r="165" spans="1:7" x14ac:dyDescent="0.3">
      <c r="A165">
        <v>160</v>
      </c>
      <c r="B165" s="8">
        <v>568.49757227548298</v>
      </c>
      <c r="C165" s="8">
        <v>80.552427724516974</v>
      </c>
      <c r="D165" s="8">
        <v>0.93390797406432957</v>
      </c>
      <c r="F165" s="8">
        <v>80.150753768844211</v>
      </c>
      <c r="G165">
        <v>450.71</v>
      </c>
    </row>
    <row r="166" spans="1:7" x14ac:dyDescent="0.3">
      <c r="A166">
        <v>161</v>
      </c>
      <c r="B166" s="8">
        <v>223.86120424922927</v>
      </c>
      <c r="C166" s="8">
        <v>-18.861204249229274</v>
      </c>
      <c r="D166" s="8">
        <v>-0.21867285128949676</v>
      </c>
      <c r="F166" s="8">
        <v>80.653266331658287</v>
      </c>
      <c r="G166">
        <v>451.1</v>
      </c>
    </row>
    <row r="167" spans="1:7" x14ac:dyDescent="0.3">
      <c r="A167">
        <v>162</v>
      </c>
      <c r="B167" s="8">
        <v>204.38990575221655</v>
      </c>
      <c r="C167" s="8">
        <v>58.930094247783444</v>
      </c>
      <c r="D167" s="8">
        <v>0.68322316887311985</v>
      </c>
      <c r="F167" s="8">
        <v>81.155778894472363</v>
      </c>
      <c r="G167">
        <v>452.8</v>
      </c>
    </row>
    <row r="168" spans="1:7" x14ac:dyDescent="0.3">
      <c r="A168">
        <v>163</v>
      </c>
      <c r="B168" s="8">
        <v>388.58108955182394</v>
      </c>
      <c r="C168" s="8">
        <v>55.408910448176073</v>
      </c>
      <c r="D168" s="8">
        <v>0.64239930146783519</v>
      </c>
      <c r="F168" s="8">
        <v>81.658291457286424</v>
      </c>
      <c r="G168">
        <v>455.97</v>
      </c>
    </row>
    <row r="169" spans="1:7" x14ac:dyDescent="0.3">
      <c r="A169">
        <v>164</v>
      </c>
      <c r="B169" s="8">
        <v>384.40465746612728</v>
      </c>
      <c r="C169" s="8">
        <v>10.905342533872727</v>
      </c>
      <c r="D169" s="8">
        <v>0.12643425704209851</v>
      </c>
      <c r="F169" s="8">
        <v>82.1608040201005</v>
      </c>
      <c r="G169">
        <v>456.66</v>
      </c>
    </row>
    <row r="170" spans="1:7" x14ac:dyDescent="0.3">
      <c r="A170">
        <v>165</v>
      </c>
      <c r="B170" s="8">
        <v>289.35397664518359</v>
      </c>
      <c r="C170" s="8">
        <v>45.686023354816427</v>
      </c>
      <c r="D170" s="8">
        <v>0.52967418511914388</v>
      </c>
      <c r="F170" s="8">
        <v>82.663316582914561</v>
      </c>
      <c r="G170">
        <v>460</v>
      </c>
    </row>
    <row r="171" spans="1:7" x14ac:dyDescent="0.3">
      <c r="A171">
        <v>166</v>
      </c>
      <c r="B171" s="8">
        <v>259.3924634388033</v>
      </c>
      <c r="C171" s="8">
        <v>74.457536561196719</v>
      </c>
      <c r="D171" s="8">
        <v>0.86324508258767008</v>
      </c>
      <c r="F171" s="8">
        <v>83.165829145728637</v>
      </c>
      <c r="G171">
        <v>461.12</v>
      </c>
    </row>
    <row r="172" spans="1:7" x14ac:dyDescent="0.3">
      <c r="A172">
        <v>167</v>
      </c>
      <c r="B172" s="8">
        <v>459.22245511560766</v>
      </c>
      <c r="C172" s="8">
        <v>71.837544884392287</v>
      </c>
      <c r="D172" s="8">
        <v>0.8328694478852896</v>
      </c>
      <c r="F172" s="8">
        <v>83.668341708542712</v>
      </c>
      <c r="G172">
        <v>468.72</v>
      </c>
    </row>
    <row r="173" spans="1:7" x14ac:dyDescent="0.3">
      <c r="A173">
        <v>168</v>
      </c>
      <c r="B173" s="8">
        <v>200.23453130728811</v>
      </c>
      <c r="C173" s="8">
        <v>31.955468692711889</v>
      </c>
      <c r="D173" s="8">
        <v>0.37048501044746912</v>
      </c>
      <c r="F173" s="8">
        <v>84.170854271356774</v>
      </c>
      <c r="G173">
        <v>468.84</v>
      </c>
    </row>
    <row r="174" spans="1:7" x14ac:dyDescent="0.3">
      <c r="A174">
        <v>169</v>
      </c>
      <c r="B174" s="8">
        <v>390.42012351224838</v>
      </c>
      <c r="C174" s="8">
        <v>-167.38012351224839</v>
      </c>
      <c r="D174" s="8">
        <v>-1.9405700915999116</v>
      </c>
      <c r="F174" s="8">
        <v>84.673366834170849</v>
      </c>
      <c r="G174">
        <v>472.62</v>
      </c>
    </row>
    <row r="175" spans="1:7" x14ac:dyDescent="0.3">
      <c r="A175">
        <v>170</v>
      </c>
      <c r="B175" s="8">
        <v>295.87833567653661</v>
      </c>
      <c r="C175" s="8">
        <v>127.04166432346341</v>
      </c>
      <c r="D175" s="8">
        <v>1.4728944452902617</v>
      </c>
      <c r="F175" s="8">
        <v>85.175879396984925</v>
      </c>
      <c r="G175">
        <v>474.66</v>
      </c>
    </row>
    <row r="176" spans="1:7" x14ac:dyDescent="0.3">
      <c r="A176">
        <v>171</v>
      </c>
      <c r="B176" s="8">
        <v>360.44106227189457</v>
      </c>
      <c r="C176" s="8">
        <v>-102.99106227189458</v>
      </c>
      <c r="D176" s="8">
        <v>-1.1940568028814806</v>
      </c>
      <c r="F176" s="8">
        <v>85.678391959798986</v>
      </c>
      <c r="G176">
        <v>476.65</v>
      </c>
    </row>
    <row r="177" spans="1:7" x14ac:dyDescent="0.3">
      <c r="A177">
        <v>172</v>
      </c>
      <c r="B177" s="8">
        <v>416.60529980752807</v>
      </c>
      <c r="C177" s="8">
        <v>-35.85529980752807</v>
      </c>
      <c r="D177" s="8">
        <v>-0.41569883551164544</v>
      </c>
      <c r="F177" s="8">
        <v>86.180904522613062</v>
      </c>
      <c r="G177">
        <v>480.51</v>
      </c>
    </row>
    <row r="178" spans="1:7" x14ac:dyDescent="0.3">
      <c r="A178">
        <v>173</v>
      </c>
      <c r="B178" s="8">
        <v>246.19634189071971</v>
      </c>
      <c r="C178" s="8">
        <v>-20.826341890719704</v>
      </c>
      <c r="D178" s="8">
        <v>-0.24145624547593048</v>
      </c>
      <c r="F178" s="8">
        <v>86.683417085427138</v>
      </c>
      <c r="G178">
        <v>481.96</v>
      </c>
    </row>
    <row r="179" spans="1:7" x14ac:dyDescent="0.3">
      <c r="A179">
        <v>174</v>
      </c>
      <c r="B179" s="8">
        <v>566.95334528581361</v>
      </c>
      <c r="C179" s="8">
        <v>15.606654714186334</v>
      </c>
      <c r="D179" s="8">
        <v>0.1809402856968291</v>
      </c>
      <c r="F179" s="8">
        <v>87.185929648241199</v>
      </c>
      <c r="G179">
        <v>484.35</v>
      </c>
    </row>
    <row r="180" spans="1:7" x14ac:dyDescent="0.3">
      <c r="A180">
        <v>175</v>
      </c>
      <c r="B180" s="8">
        <v>355.04679662843591</v>
      </c>
      <c r="C180" s="8">
        <v>-10.136796628435889</v>
      </c>
      <c r="D180" s="8">
        <v>-0.11752389679849906</v>
      </c>
      <c r="F180" s="8">
        <v>87.688442211055275</v>
      </c>
      <c r="G180">
        <v>487.36</v>
      </c>
    </row>
    <row r="181" spans="1:7" x14ac:dyDescent="0.3">
      <c r="A181">
        <v>176</v>
      </c>
      <c r="B181" s="8">
        <v>289.25570765493188</v>
      </c>
      <c r="C181" s="8">
        <v>41.534292345068138</v>
      </c>
      <c r="D181" s="8">
        <v>0.48153988543752207</v>
      </c>
      <c r="F181" s="8">
        <v>88.190954773869336</v>
      </c>
      <c r="G181">
        <v>492.5</v>
      </c>
    </row>
    <row r="182" spans="1:7" x14ac:dyDescent="0.3">
      <c r="A182">
        <v>177</v>
      </c>
      <c r="B182" s="8">
        <v>357.78428992830436</v>
      </c>
      <c r="C182" s="8">
        <v>102.21571007169564</v>
      </c>
      <c r="D182" s="8">
        <v>1.1850675318820949</v>
      </c>
      <c r="F182" s="8">
        <v>88.693467336683412</v>
      </c>
      <c r="G182">
        <v>497.99</v>
      </c>
    </row>
    <row r="183" spans="1:7" x14ac:dyDescent="0.3">
      <c r="A183">
        <v>178</v>
      </c>
      <c r="B183" s="8">
        <v>384.96970416007451</v>
      </c>
      <c r="C183" s="8">
        <v>54.910295839925482</v>
      </c>
      <c r="D183" s="8">
        <v>0.63661846814245471</v>
      </c>
      <c r="F183" s="8">
        <v>89.195979899497488</v>
      </c>
      <c r="G183">
        <v>500.1</v>
      </c>
    </row>
    <row r="184" spans="1:7" x14ac:dyDescent="0.3">
      <c r="A184">
        <v>179</v>
      </c>
      <c r="B184" s="8">
        <v>248.38633653061444</v>
      </c>
      <c r="C184" s="8">
        <v>7.403663469385549</v>
      </c>
      <c r="D184" s="8">
        <v>8.5836523450223606E-2</v>
      </c>
      <c r="F184" s="8">
        <v>89.698492462311549</v>
      </c>
      <c r="G184">
        <v>511.14</v>
      </c>
    </row>
    <row r="185" spans="1:7" x14ac:dyDescent="0.3">
      <c r="A185">
        <v>180</v>
      </c>
      <c r="B185" s="8">
        <v>174.21430653135943</v>
      </c>
      <c r="C185" s="8">
        <v>-14.474306531359417</v>
      </c>
      <c r="D185" s="8">
        <v>-0.1678120780532816</v>
      </c>
      <c r="F185" s="8">
        <v>90.201005025125625</v>
      </c>
      <c r="G185">
        <v>513.38</v>
      </c>
    </row>
    <row r="186" spans="1:7" x14ac:dyDescent="0.3">
      <c r="A186">
        <v>181</v>
      </c>
      <c r="B186" s="8">
        <v>372.51060003887852</v>
      </c>
      <c r="C186" s="8">
        <v>31.879399961121464</v>
      </c>
      <c r="D186" s="8">
        <v>0.36960308550720272</v>
      </c>
      <c r="F186" s="8">
        <v>90.703517587939686</v>
      </c>
      <c r="G186">
        <v>526</v>
      </c>
    </row>
    <row r="187" spans="1:7" x14ac:dyDescent="0.3">
      <c r="A187">
        <v>182</v>
      </c>
      <c r="B187" s="8">
        <v>153.00926227776336</v>
      </c>
      <c r="C187" s="8">
        <v>34.560737722236638</v>
      </c>
      <c r="D187" s="8">
        <v>0.40068995386117912</v>
      </c>
      <c r="F187" s="8">
        <v>91.206030150753762</v>
      </c>
      <c r="G187">
        <v>531.05999999999995</v>
      </c>
    </row>
    <row r="188" spans="1:7" x14ac:dyDescent="0.3">
      <c r="A188">
        <v>183</v>
      </c>
      <c r="B188" s="8">
        <v>302.59572308159835</v>
      </c>
      <c r="C188" s="8">
        <v>108.27427691840165</v>
      </c>
      <c r="D188" s="8">
        <v>1.2553092868406288</v>
      </c>
      <c r="F188" s="8">
        <v>91.708542713567837</v>
      </c>
      <c r="G188">
        <v>542.62</v>
      </c>
    </row>
    <row r="189" spans="1:7" x14ac:dyDescent="0.3">
      <c r="A189">
        <v>184</v>
      </c>
      <c r="B189" s="8">
        <v>344.69345658406183</v>
      </c>
      <c r="C189" s="8">
        <v>-68.913456584061862</v>
      </c>
      <c r="D189" s="8">
        <v>-0.79896818062757247</v>
      </c>
      <c r="F189" s="8">
        <v>92.211055276381899</v>
      </c>
      <c r="G189">
        <v>551.98</v>
      </c>
    </row>
    <row r="190" spans="1:7" x14ac:dyDescent="0.3">
      <c r="A190">
        <v>185</v>
      </c>
      <c r="B190" s="8">
        <v>523.17801973548194</v>
      </c>
      <c r="C190" s="8">
        <v>223.56198026451807</v>
      </c>
      <c r="D190" s="8">
        <v>2.5919307706116399</v>
      </c>
      <c r="F190" s="8">
        <v>92.713567839195974</v>
      </c>
      <c r="G190">
        <v>553.29999999999995</v>
      </c>
    </row>
    <row r="191" spans="1:7" x14ac:dyDescent="0.3">
      <c r="A191">
        <v>186</v>
      </c>
      <c r="B191" s="8">
        <v>240.98457580058562</v>
      </c>
      <c r="C191" s="8">
        <v>69.255424199414392</v>
      </c>
      <c r="D191" s="8">
        <v>0.80293288152947073</v>
      </c>
      <c r="F191" s="8">
        <v>93.21608040201005</v>
      </c>
      <c r="G191">
        <v>556.30999999999995</v>
      </c>
    </row>
    <row r="192" spans="1:7" x14ac:dyDescent="0.3">
      <c r="A192">
        <v>187</v>
      </c>
      <c r="B192" s="8">
        <v>238.46116851519412</v>
      </c>
      <c r="C192" s="8">
        <v>102.65883148480589</v>
      </c>
      <c r="D192" s="8">
        <v>1.1902049887269412</v>
      </c>
      <c r="F192" s="8">
        <v>93.718592964824111</v>
      </c>
      <c r="G192">
        <v>562.82000000000005</v>
      </c>
    </row>
    <row r="193" spans="1:7" x14ac:dyDescent="0.3">
      <c r="A193">
        <v>188</v>
      </c>
      <c r="B193" s="8">
        <v>159.95126451768607</v>
      </c>
      <c r="C193" s="8">
        <v>-68.241264517686076</v>
      </c>
      <c r="D193" s="8">
        <v>-0.7911749266112188</v>
      </c>
      <c r="F193" s="8">
        <v>94.221105527638187</v>
      </c>
      <c r="G193">
        <v>581.16</v>
      </c>
    </row>
    <row r="194" spans="1:7" x14ac:dyDescent="0.3">
      <c r="A194">
        <v>189</v>
      </c>
      <c r="B194" s="8">
        <v>414.64693921608375</v>
      </c>
      <c r="C194" s="8">
        <v>-83.056939216083777</v>
      </c>
      <c r="D194" s="8">
        <v>-0.96294475568820725</v>
      </c>
      <c r="F194" s="8">
        <v>94.723618090452263</v>
      </c>
      <c r="G194">
        <v>581.5</v>
      </c>
    </row>
    <row r="195" spans="1:7" x14ac:dyDescent="0.3">
      <c r="A195">
        <v>190</v>
      </c>
      <c r="B195" s="8">
        <v>266.50292680487178</v>
      </c>
      <c r="C195" s="8">
        <v>114.56707319512822</v>
      </c>
      <c r="D195" s="8">
        <v>1.3282666487477803</v>
      </c>
      <c r="F195" s="8">
        <v>95.226130653266324</v>
      </c>
      <c r="G195">
        <v>582.55999999999995</v>
      </c>
    </row>
    <row r="196" spans="1:7" x14ac:dyDescent="0.3">
      <c r="A196">
        <v>191</v>
      </c>
      <c r="B196" s="8">
        <v>262.49144623852618</v>
      </c>
      <c r="C196" s="8">
        <v>-7.2514462385261709</v>
      </c>
      <c r="D196" s="8">
        <v>-8.4071748759934575E-2</v>
      </c>
      <c r="F196" s="8">
        <v>95.7286432160804</v>
      </c>
      <c r="G196">
        <v>586.14</v>
      </c>
    </row>
    <row r="197" spans="1:7" x14ac:dyDescent="0.3">
      <c r="A197">
        <v>192</v>
      </c>
      <c r="B197" s="8">
        <v>510.35040690084224</v>
      </c>
      <c r="C197" s="8">
        <v>181.69959309915771</v>
      </c>
      <c r="D197" s="8">
        <v>2.1065870225522736</v>
      </c>
      <c r="F197" s="8">
        <v>96.231155778894461</v>
      </c>
      <c r="G197">
        <v>649.04999999999995</v>
      </c>
    </row>
    <row r="198" spans="1:7" x14ac:dyDescent="0.3">
      <c r="A198">
        <v>193</v>
      </c>
      <c r="B198" s="8">
        <v>382.75514227261687</v>
      </c>
      <c r="C198" s="8">
        <v>-38.34514227261684</v>
      </c>
      <c r="D198" s="8">
        <v>-0.44456554751519517</v>
      </c>
      <c r="F198" s="8">
        <v>96.733668341708537</v>
      </c>
      <c r="G198">
        <v>649.79</v>
      </c>
    </row>
    <row r="199" spans="1:7" x14ac:dyDescent="0.3">
      <c r="A199">
        <v>194</v>
      </c>
      <c r="B199" s="8">
        <v>326.91378856209599</v>
      </c>
      <c r="C199" s="8">
        <v>70.146211437904014</v>
      </c>
      <c r="D199" s="8">
        <v>0.81326048218311309</v>
      </c>
      <c r="F199" s="8">
        <v>97.236180904522612</v>
      </c>
      <c r="G199">
        <v>672.38</v>
      </c>
    </row>
    <row r="200" spans="1:7" x14ac:dyDescent="0.3">
      <c r="A200">
        <v>195</v>
      </c>
      <c r="B200" s="8">
        <v>513.30198621518753</v>
      </c>
      <c r="C200" s="8">
        <v>72.83801378481246</v>
      </c>
      <c r="D200" s="8">
        <v>0.84446867475280452</v>
      </c>
      <c r="F200" s="8">
        <v>97.738693467336674</v>
      </c>
      <c r="G200">
        <v>675.5</v>
      </c>
    </row>
    <row r="201" spans="1:7" x14ac:dyDescent="0.3">
      <c r="A201">
        <v>196</v>
      </c>
      <c r="B201" s="8">
        <v>259.01342590497541</v>
      </c>
      <c r="C201" s="8">
        <v>74.346574095024607</v>
      </c>
      <c r="D201" s="8">
        <v>0.86195860699770543</v>
      </c>
      <c r="F201" s="8">
        <v>98.241206030150749</v>
      </c>
      <c r="G201">
        <v>680.18</v>
      </c>
    </row>
    <row r="202" spans="1:7" x14ac:dyDescent="0.3">
      <c r="A202">
        <v>197</v>
      </c>
      <c r="B202" s="8">
        <v>190.4497475636559</v>
      </c>
      <c r="C202" s="8">
        <v>55.000252436344084</v>
      </c>
      <c r="D202" s="8">
        <v>0.63766140607850708</v>
      </c>
      <c r="F202" s="8">
        <v>98.743718592964811</v>
      </c>
      <c r="G202">
        <v>692.05</v>
      </c>
    </row>
    <row r="203" spans="1:7" x14ac:dyDescent="0.3">
      <c r="A203">
        <v>198</v>
      </c>
      <c r="B203" s="8">
        <v>349.14363799974535</v>
      </c>
      <c r="C203" s="8">
        <v>29.946362000254624</v>
      </c>
      <c r="D203" s="8">
        <v>0.34719184829413563</v>
      </c>
      <c r="F203" s="8">
        <v>99.246231155778887</v>
      </c>
      <c r="G203">
        <v>746.74</v>
      </c>
    </row>
    <row r="204" spans="1:7" ht="15" thickBot="1" x14ac:dyDescent="0.35">
      <c r="A204" s="6">
        <v>199</v>
      </c>
      <c r="B204" s="9">
        <v>324.82557251924771</v>
      </c>
      <c r="C204" s="9">
        <v>116.12442748075227</v>
      </c>
      <c r="D204" s="9">
        <v>1.3463222881229411</v>
      </c>
      <c r="F204" s="9">
        <v>99.748743718592962</v>
      </c>
      <c r="G204" s="6">
        <v>769.46</v>
      </c>
    </row>
  </sheetData>
  <sortState xmlns:xlrd2="http://schemas.microsoft.com/office/spreadsheetml/2017/richdata2" ref="G6:G204">
    <sortCondition ref="G6"/>
  </sortState>
  <mergeCells count="1">
    <mergeCell ref="B1:Q1"/>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BEB998-57A1-4790-B223-161D7A413DFE}">
  <dimension ref="A1:U17"/>
  <sheetViews>
    <sheetView zoomScale="70" zoomScaleNormal="70" workbookViewId="0">
      <selection sqref="A1:R1"/>
    </sheetView>
  </sheetViews>
  <sheetFormatPr defaultRowHeight="14.4" x14ac:dyDescent="0.3"/>
  <cols>
    <col min="1" max="2" width="18" bestFit="1" customWidth="1"/>
    <col min="3" max="3" width="13.88671875" bestFit="1" customWidth="1"/>
    <col min="4" max="5" width="18" bestFit="1" customWidth="1"/>
    <col min="6" max="6" width="13.88671875" bestFit="1" customWidth="1"/>
    <col min="7" max="8" width="18" bestFit="1" customWidth="1"/>
    <col min="9" max="9" width="13.88671875" bestFit="1" customWidth="1"/>
    <col min="10" max="11" width="18" bestFit="1" customWidth="1"/>
    <col min="12" max="12" width="13.88671875" bestFit="1" customWidth="1"/>
    <col min="13" max="13" width="16.44140625" customWidth="1"/>
    <col min="14" max="14" width="18" bestFit="1" customWidth="1"/>
    <col min="15" max="15" width="13.33203125" bestFit="1" customWidth="1"/>
    <col min="16" max="17" width="18" bestFit="1" customWidth="1"/>
    <col min="18" max="18" width="13.88671875" bestFit="1" customWidth="1"/>
    <col min="19" max="19" width="16.5546875" bestFit="1" customWidth="1"/>
    <col min="20" max="20" width="18" bestFit="1" customWidth="1"/>
    <col min="21" max="21" width="13.88671875" bestFit="1" customWidth="1"/>
    <col min="22" max="22" width="12.6640625" bestFit="1" customWidth="1"/>
    <col min="23" max="23" width="16.5546875" bestFit="1" customWidth="1"/>
    <col min="24" max="24" width="12" bestFit="1" customWidth="1"/>
  </cols>
  <sheetData>
    <row r="1" spans="1:21" ht="33.6" x14ac:dyDescent="0.65">
      <c r="A1" s="30" t="s">
        <v>126</v>
      </c>
      <c r="B1" s="30"/>
      <c r="C1" s="30"/>
      <c r="D1" s="30"/>
      <c r="E1" s="30"/>
      <c r="F1" s="30"/>
      <c r="G1" s="30"/>
      <c r="H1" s="30"/>
      <c r="I1" s="30"/>
      <c r="J1" s="30"/>
      <c r="K1" s="30"/>
      <c r="L1" s="30"/>
      <c r="M1" s="30"/>
      <c r="N1" s="30"/>
      <c r="O1" s="30"/>
      <c r="P1" s="30"/>
      <c r="Q1" s="30"/>
      <c r="R1" s="30"/>
    </row>
    <row r="2" spans="1:21" ht="58.2" customHeight="1" x14ac:dyDescent="0.3"/>
    <row r="3" spans="1:21" x14ac:dyDescent="0.3">
      <c r="B3" s="31" t="s">
        <v>5</v>
      </c>
      <c r="C3" s="31"/>
      <c r="E3" s="31" t="s">
        <v>6</v>
      </c>
      <c r="F3" s="31"/>
      <c r="H3" s="31" t="s">
        <v>7</v>
      </c>
      <c r="I3" s="31"/>
      <c r="K3" s="31" t="s">
        <v>8</v>
      </c>
      <c r="L3" s="31"/>
      <c r="N3" s="31" t="s">
        <v>9</v>
      </c>
      <c r="O3" s="31"/>
      <c r="Q3" s="31" t="s">
        <v>5</v>
      </c>
      <c r="R3" s="31"/>
      <c r="T3" s="31" t="s">
        <v>6</v>
      </c>
      <c r="U3" s="31"/>
    </row>
    <row r="4" spans="1:21" x14ac:dyDescent="0.3">
      <c r="B4" s="31"/>
      <c r="C4" s="31"/>
      <c r="E4" s="31"/>
      <c r="F4" s="31"/>
      <c r="H4" s="31"/>
      <c r="I4" s="31"/>
      <c r="K4" s="31"/>
      <c r="L4" s="31"/>
      <c r="N4" s="31"/>
      <c r="O4" s="31"/>
      <c r="Q4" s="31"/>
      <c r="R4" s="31"/>
      <c r="T4" s="31"/>
      <c r="U4" s="31"/>
    </row>
    <row r="5" spans="1:21" x14ac:dyDescent="0.3">
      <c r="B5" s="15" t="s">
        <v>114</v>
      </c>
      <c r="C5" s="5">
        <v>976.08879999999965</v>
      </c>
      <c r="E5" s="15" t="s">
        <v>114</v>
      </c>
      <c r="F5" s="5">
        <v>9.9949999999999992</v>
      </c>
      <c r="H5" s="15" t="s">
        <v>114</v>
      </c>
      <c r="I5" s="5">
        <v>9.7250000000000003E-2</v>
      </c>
      <c r="K5" s="15" t="s">
        <v>114</v>
      </c>
      <c r="L5" s="5">
        <v>45564.144999999997</v>
      </c>
      <c r="N5" s="15" t="s">
        <v>114</v>
      </c>
      <c r="O5" s="5">
        <v>341.43505000000005</v>
      </c>
      <c r="Q5" s="15" t="s">
        <v>114</v>
      </c>
      <c r="R5" s="5">
        <v>976.08879999999965</v>
      </c>
      <c r="T5" s="15" t="s">
        <v>114</v>
      </c>
      <c r="U5" s="5">
        <v>9.9949999999999992</v>
      </c>
    </row>
    <row r="6" spans="1:21" x14ac:dyDescent="0.3">
      <c r="B6" s="15" t="s">
        <v>86</v>
      </c>
      <c r="C6" s="5">
        <v>21.161850448978406</v>
      </c>
      <c r="E6" s="15" t="s">
        <v>86</v>
      </c>
      <c r="F6" s="5">
        <v>0.39927682743257598</v>
      </c>
      <c r="H6" s="15" t="s">
        <v>86</v>
      </c>
      <c r="I6" s="5">
        <v>5.1142413732752686E-3</v>
      </c>
      <c r="K6" s="15" t="s">
        <v>86</v>
      </c>
      <c r="L6" s="5">
        <v>7.9187976775702165</v>
      </c>
      <c r="N6" s="15" t="s">
        <v>86</v>
      </c>
      <c r="O6" s="5">
        <v>9.6001196472332531</v>
      </c>
      <c r="Q6" s="15" t="s">
        <v>86</v>
      </c>
      <c r="R6" s="5">
        <v>21.161850448978406</v>
      </c>
      <c r="T6" s="15" t="s">
        <v>86</v>
      </c>
      <c r="U6" s="5">
        <v>0.39927682743257598</v>
      </c>
    </row>
    <row r="7" spans="1:21" x14ac:dyDescent="0.3">
      <c r="B7" s="15" t="s">
        <v>115</v>
      </c>
      <c r="C7" s="5">
        <v>976.72</v>
      </c>
      <c r="E7" s="15" t="s">
        <v>115</v>
      </c>
      <c r="F7" s="5">
        <v>10</v>
      </c>
      <c r="H7" s="15" t="s">
        <v>115</v>
      </c>
      <c r="I7" s="5">
        <v>0.1</v>
      </c>
      <c r="K7" s="15" t="s">
        <v>115</v>
      </c>
      <c r="L7" s="5">
        <v>45564.5</v>
      </c>
      <c r="N7" s="15" t="s">
        <v>115</v>
      </c>
      <c r="O7" s="5">
        <v>332.255</v>
      </c>
      <c r="Q7" s="15" t="s">
        <v>115</v>
      </c>
      <c r="R7" s="5">
        <v>976.72</v>
      </c>
      <c r="T7" s="15" t="s">
        <v>115</v>
      </c>
      <c r="U7" s="5">
        <v>10</v>
      </c>
    </row>
    <row r="8" spans="1:21" x14ac:dyDescent="0.3">
      <c r="B8" s="15" t="s">
        <v>116</v>
      </c>
      <c r="C8" s="5" t="e">
        <v>#N/A</v>
      </c>
      <c r="E8" s="15" t="s">
        <v>116</v>
      </c>
      <c r="F8" s="5">
        <v>8</v>
      </c>
      <c r="H8" s="15" t="s">
        <v>116</v>
      </c>
      <c r="I8" s="5">
        <v>0.2</v>
      </c>
      <c r="K8" s="15" t="s">
        <v>116</v>
      </c>
      <c r="L8" s="5">
        <v>45429</v>
      </c>
      <c r="N8" s="15" t="s">
        <v>116</v>
      </c>
      <c r="O8" s="5" t="e">
        <v>#N/A</v>
      </c>
      <c r="Q8" s="15" t="s">
        <v>116</v>
      </c>
      <c r="R8" s="5" t="e">
        <v>#N/A</v>
      </c>
      <c r="T8" s="15" t="s">
        <v>116</v>
      </c>
      <c r="U8" s="5">
        <v>8</v>
      </c>
    </row>
    <row r="9" spans="1:21" x14ac:dyDescent="0.3">
      <c r="B9" s="15" t="s">
        <v>117</v>
      </c>
      <c r="C9" s="5">
        <v>299.27375909856431</v>
      </c>
      <c r="E9" s="15" t="s">
        <v>117</v>
      </c>
      <c r="F9" s="5">
        <v>5.6466270449645082</v>
      </c>
      <c r="H9" s="15" t="s">
        <v>117</v>
      </c>
      <c r="I9" s="5">
        <v>7.232629511335488E-2</v>
      </c>
      <c r="K9" s="15" t="s">
        <v>117</v>
      </c>
      <c r="L9" s="5">
        <v>111.98871073308368</v>
      </c>
      <c r="N9" s="15" t="s">
        <v>117</v>
      </c>
      <c r="O9" s="5">
        <v>135.7661940552168</v>
      </c>
      <c r="Q9" s="15" t="s">
        <v>117</v>
      </c>
      <c r="R9" s="5">
        <v>299.27375909856431</v>
      </c>
      <c r="T9" s="15" t="s">
        <v>117</v>
      </c>
      <c r="U9" s="5">
        <v>5.6466270449645082</v>
      </c>
    </row>
    <row r="10" spans="1:21" x14ac:dyDescent="0.3">
      <c r="B10" s="15" t="s">
        <v>118</v>
      </c>
      <c r="C10" s="5">
        <v>89564.782884985514</v>
      </c>
      <c r="E10" s="15" t="s">
        <v>118</v>
      </c>
      <c r="F10" s="5">
        <v>31.884396984924617</v>
      </c>
      <c r="H10" s="15" t="s">
        <v>118</v>
      </c>
      <c r="I10" s="5">
        <v>5.2310929648241022E-3</v>
      </c>
      <c r="K10" s="15" t="s">
        <v>118</v>
      </c>
      <c r="L10" s="5">
        <v>12541.471331658293</v>
      </c>
      <c r="N10" s="15" t="s">
        <v>118</v>
      </c>
      <c r="O10" s="5">
        <v>18432.459448238787</v>
      </c>
      <c r="Q10" s="15" t="s">
        <v>118</v>
      </c>
      <c r="R10" s="5">
        <v>89564.782884985514</v>
      </c>
      <c r="T10" s="15" t="s">
        <v>118</v>
      </c>
      <c r="U10" s="5">
        <v>31.884396984924617</v>
      </c>
    </row>
    <row r="11" spans="1:21" x14ac:dyDescent="0.3">
      <c r="B11" s="15" t="s">
        <v>119</v>
      </c>
      <c r="C11" s="5">
        <v>-8.8595231919740502E-2</v>
      </c>
      <c r="E11" s="15" t="s">
        <v>119</v>
      </c>
      <c r="F11" s="5">
        <v>-1.2091053826620759</v>
      </c>
      <c r="H11" s="15" t="s">
        <v>119</v>
      </c>
      <c r="I11" s="5">
        <v>-1.3257012415855784</v>
      </c>
      <c r="K11" s="15" t="s">
        <v>119</v>
      </c>
      <c r="L11" s="5">
        <v>-1.2820132193662439</v>
      </c>
      <c r="N11" s="15" t="s">
        <v>119</v>
      </c>
      <c r="O11" s="5">
        <v>0.26450643813582442</v>
      </c>
      <c r="Q11" s="15" t="s">
        <v>119</v>
      </c>
      <c r="R11" s="5">
        <v>-8.8595231919740502E-2</v>
      </c>
      <c r="T11" s="15" t="s">
        <v>119</v>
      </c>
      <c r="U11" s="5">
        <v>-1.2091053826620759</v>
      </c>
    </row>
    <row r="12" spans="1:21" x14ac:dyDescent="0.3">
      <c r="B12" s="15" t="s">
        <v>120</v>
      </c>
      <c r="C12" s="5">
        <v>0.14685796564193557</v>
      </c>
      <c r="E12" s="15" t="s">
        <v>120</v>
      </c>
      <c r="F12" s="5">
        <v>6.084586432077814E-2</v>
      </c>
      <c r="H12" s="15" t="s">
        <v>120</v>
      </c>
      <c r="I12" s="5">
        <v>9.6827385576684841E-2</v>
      </c>
      <c r="K12" s="15" t="s">
        <v>120</v>
      </c>
      <c r="L12" s="5">
        <v>6.0697356405978772E-2</v>
      </c>
      <c r="N12" s="15" t="s">
        <v>120</v>
      </c>
      <c r="O12" s="5">
        <v>0.57339636063424715</v>
      </c>
      <c r="Q12" s="15" t="s">
        <v>120</v>
      </c>
      <c r="R12" s="5">
        <v>0.14685796564193557</v>
      </c>
      <c r="T12" s="15" t="s">
        <v>120</v>
      </c>
      <c r="U12" s="5">
        <v>6.084586432077814E-2</v>
      </c>
    </row>
    <row r="13" spans="1:21" x14ac:dyDescent="0.3">
      <c r="B13" s="15" t="s">
        <v>121</v>
      </c>
      <c r="C13" s="5">
        <v>1665.15</v>
      </c>
      <c r="E13" s="15" t="s">
        <v>121</v>
      </c>
      <c r="F13" s="5">
        <v>18</v>
      </c>
      <c r="H13" s="15" t="s">
        <v>121</v>
      </c>
      <c r="I13" s="5">
        <v>0.2</v>
      </c>
      <c r="K13" s="15" t="s">
        <v>121</v>
      </c>
      <c r="L13" s="5">
        <v>362</v>
      </c>
      <c r="N13" s="15" t="s">
        <v>121</v>
      </c>
      <c r="O13" s="5">
        <v>704.83</v>
      </c>
      <c r="Q13" s="15" t="s">
        <v>121</v>
      </c>
      <c r="R13" s="5">
        <v>1665.15</v>
      </c>
      <c r="T13" s="15" t="s">
        <v>121</v>
      </c>
      <c r="U13" s="5">
        <v>18</v>
      </c>
    </row>
    <row r="14" spans="1:21" x14ac:dyDescent="0.3">
      <c r="B14" s="15" t="s">
        <v>122</v>
      </c>
      <c r="C14" s="5">
        <v>258.51</v>
      </c>
      <c r="E14" s="15" t="s">
        <v>122</v>
      </c>
      <c r="F14" s="5">
        <v>1</v>
      </c>
      <c r="H14" s="15" t="s">
        <v>122</v>
      </c>
      <c r="I14" s="5">
        <v>0</v>
      </c>
      <c r="K14" s="15" t="s">
        <v>122</v>
      </c>
      <c r="L14" s="5">
        <v>45392</v>
      </c>
      <c r="N14" s="15" t="s">
        <v>122</v>
      </c>
      <c r="O14" s="5">
        <v>64.63</v>
      </c>
      <c r="Q14" s="15" t="s">
        <v>122</v>
      </c>
      <c r="R14" s="5">
        <v>258.51</v>
      </c>
      <c r="T14" s="15" t="s">
        <v>122</v>
      </c>
      <c r="U14" s="5">
        <v>1</v>
      </c>
    </row>
    <row r="15" spans="1:21" x14ac:dyDescent="0.3">
      <c r="B15" s="15" t="s">
        <v>123</v>
      </c>
      <c r="C15" s="5">
        <v>1923.66</v>
      </c>
      <c r="E15" s="15" t="s">
        <v>123</v>
      </c>
      <c r="F15" s="5">
        <v>19</v>
      </c>
      <c r="H15" s="15" t="s">
        <v>123</v>
      </c>
      <c r="I15" s="5">
        <v>0.2</v>
      </c>
      <c r="K15" s="15" t="s">
        <v>123</v>
      </c>
      <c r="L15" s="5">
        <v>45754</v>
      </c>
      <c r="N15" s="15" t="s">
        <v>123</v>
      </c>
      <c r="O15" s="5">
        <v>769.46</v>
      </c>
      <c r="Q15" s="15" t="s">
        <v>123</v>
      </c>
      <c r="R15" s="5">
        <v>1923.66</v>
      </c>
      <c r="T15" s="15" t="s">
        <v>123</v>
      </c>
      <c r="U15" s="5">
        <v>19</v>
      </c>
    </row>
    <row r="16" spans="1:21" x14ac:dyDescent="0.3">
      <c r="B16" s="15" t="s">
        <v>124</v>
      </c>
      <c r="C16" s="5">
        <v>195217.75999999992</v>
      </c>
      <c r="E16" s="15" t="s">
        <v>124</v>
      </c>
      <c r="F16" s="5">
        <v>1999</v>
      </c>
      <c r="H16" s="15" t="s">
        <v>124</v>
      </c>
      <c r="I16" s="5">
        <v>19.45</v>
      </c>
      <c r="K16" s="15" t="s">
        <v>124</v>
      </c>
      <c r="L16" s="5">
        <v>9112829</v>
      </c>
      <c r="N16" s="15" t="s">
        <v>124</v>
      </c>
      <c r="O16" s="5">
        <v>68287.010000000009</v>
      </c>
      <c r="Q16" s="15" t="s">
        <v>124</v>
      </c>
      <c r="R16" s="5">
        <v>195217.75999999992</v>
      </c>
      <c r="T16" s="15" t="s">
        <v>124</v>
      </c>
      <c r="U16" s="5">
        <v>1999</v>
      </c>
    </row>
    <row r="17" spans="2:21" x14ac:dyDescent="0.3">
      <c r="B17" s="15" t="s">
        <v>125</v>
      </c>
      <c r="C17" s="5">
        <v>200</v>
      </c>
      <c r="E17" s="15" t="s">
        <v>125</v>
      </c>
      <c r="F17" s="5">
        <v>200</v>
      </c>
      <c r="H17" s="15" t="s">
        <v>125</v>
      </c>
      <c r="I17" s="5">
        <v>200</v>
      </c>
      <c r="K17" s="15" t="s">
        <v>125</v>
      </c>
      <c r="L17" s="5">
        <v>200</v>
      </c>
      <c r="N17" s="15" t="s">
        <v>125</v>
      </c>
      <c r="O17" s="5">
        <v>200</v>
      </c>
      <c r="Q17" s="15" t="s">
        <v>125</v>
      </c>
      <c r="R17" s="5">
        <v>200</v>
      </c>
      <c r="T17" s="15" t="s">
        <v>125</v>
      </c>
      <c r="U17" s="5">
        <v>200</v>
      </c>
    </row>
  </sheetData>
  <mergeCells count="8">
    <mergeCell ref="A1:R1"/>
    <mergeCell ref="T3:U4"/>
    <mergeCell ref="K3:L4"/>
    <mergeCell ref="H3:I4"/>
    <mergeCell ref="E3:F4"/>
    <mergeCell ref="B3:C4"/>
    <mergeCell ref="N3:O4"/>
    <mergeCell ref="Q3:R4"/>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21A975-00B5-45F2-93E4-8C3FEAC447B8}">
  <dimension ref="A1:K30"/>
  <sheetViews>
    <sheetView workbookViewId="0">
      <selection activeCell="E24" sqref="E24"/>
    </sheetView>
  </sheetViews>
  <sheetFormatPr defaultRowHeight="14.4" x14ac:dyDescent="0.3"/>
  <cols>
    <col min="1" max="1" width="15.6640625" bestFit="1" customWidth="1"/>
    <col min="2" max="2" width="11.6640625" bestFit="1" customWidth="1"/>
    <col min="3" max="3" width="12.109375" bestFit="1" customWidth="1"/>
    <col min="6" max="6" width="14.6640625" bestFit="1" customWidth="1"/>
    <col min="7" max="7" width="12" bestFit="1" customWidth="1"/>
    <col min="8" max="8" width="11.6640625" bestFit="1" customWidth="1"/>
    <col min="9" max="9" width="12.44140625" bestFit="1" customWidth="1"/>
    <col min="10" max="10" width="18.109375" bestFit="1" customWidth="1"/>
    <col min="11" max="11" width="11.88671875" customWidth="1"/>
  </cols>
  <sheetData>
    <row r="1" spans="1:11" ht="18.600000000000001" thickBot="1" x14ac:dyDescent="0.4">
      <c r="D1" s="48" t="s">
        <v>153</v>
      </c>
      <c r="E1" s="49"/>
      <c r="F1" s="49"/>
      <c r="G1" s="49"/>
      <c r="H1" s="49"/>
      <c r="I1" s="49"/>
      <c r="J1" s="49"/>
      <c r="K1" s="50"/>
    </row>
    <row r="3" spans="1:11" x14ac:dyDescent="0.3">
      <c r="A3" s="45" t="s">
        <v>128</v>
      </c>
      <c r="B3" s="5" t="s">
        <v>134</v>
      </c>
      <c r="C3" s="5" t="s">
        <v>145</v>
      </c>
      <c r="F3" s="40" t="s">
        <v>154</v>
      </c>
      <c r="G3" s="5">
        <f>MAX(B2:B50)</f>
        <v>20774.739999999998</v>
      </c>
      <c r="H3" s="41" t="s">
        <v>158</v>
      </c>
      <c r="I3" s="43" t="s">
        <v>159</v>
      </c>
    </row>
    <row r="4" spans="1:11" x14ac:dyDescent="0.3">
      <c r="A4" s="46" t="s">
        <v>72</v>
      </c>
      <c r="B4" s="47">
        <v>5465.71</v>
      </c>
      <c r="C4" s="47">
        <v>1937.8500000000001</v>
      </c>
      <c r="F4" s="40" t="s">
        <v>155</v>
      </c>
      <c r="G4" s="5" t="str">
        <f>INDEX(A2:A50, MATCH(MAX(B2:B50), B2:B50, 0))</f>
        <v>James Wilson</v>
      </c>
      <c r="H4" s="42"/>
      <c r="I4" s="44"/>
    </row>
    <row r="5" spans="1:11" x14ac:dyDescent="0.3">
      <c r="A5" s="46" t="s">
        <v>56</v>
      </c>
      <c r="B5" s="47">
        <v>11915.829999999998</v>
      </c>
      <c r="C5" s="47">
        <v>4061.91</v>
      </c>
    </row>
    <row r="6" spans="1:11" x14ac:dyDescent="0.3">
      <c r="A6" s="46" t="s">
        <v>57</v>
      </c>
      <c r="B6" s="47">
        <v>3819.1400000000003</v>
      </c>
      <c r="C6" s="47">
        <v>1273.1899999999998</v>
      </c>
    </row>
    <row r="7" spans="1:11" x14ac:dyDescent="0.3">
      <c r="A7" s="46" t="s">
        <v>43</v>
      </c>
      <c r="B7" s="47">
        <v>1672.88</v>
      </c>
      <c r="C7" s="47">
        <v>569.64</v>
      </c>
      <c r="F7" s="40" t="str" cm="1">
        <f t="array" ref="F7:H11">_xlfn._xlws.FILTER(A2:C50, B2:B50 &gt; 10000)</f>
        <v>Row Labels</v>
      </c>
      <c r="G7" s="40" t="str">
        <v>Sum of Sales</v>
      </c>
      <c r="H7" s="40" t="str">
        <v>Sum of Profit</v>
      </c>
    </row>
    <row r="8" spans="1:11" x14ac:dyDescent="0.3">
      <c r="A8" s="46" t="s">
        <v>37</v>
      </c>
      <c r="B8" s="47">
        <v>7020.3799999999992</v>
      </c>
      <c r="C8" s="47">
        <v>2919.45</v>
      </c>
      <c r="F8" s="5" t="str">
        <v>David Brown</v>
      </c>
      <c r="G8" s="5">
        <v>11915.829999999998</v>
      </c>
      <c r="H8" s="5">
        <v>4061.91</v>
      </c>
    </row>
    <row r="9" spans="1:11" x14ac:dyDescent="0.3">
      <c r="A9" s="46" t="s">
        <v>39</v>
      </c>
      <c r="B9" s="47">
        <v>11398.32</v>
      </c>
      <c r="C9" s="47">
        <v>3846.93</v>
      </c>
      <c r="F9" s="5" t="str">
        <v>Emma Davis</v>
      </c>
      <c r="G9" s="5">
        <v>11398.32</v>
      </c>
      <c r="H9" s="5">
        <v>3846.93</v>
      </c>
      <c r="I9" s="38" t="s">
        <v>156</v>
      </c>
      <c r="J9" s="38" t="s">
        <v>157</v>
      </c>
    </row>
    <row r="10" spans="1:11" x14ac:dyDescent="0.3">
      <c r="A10" s="46" t="s">
        <v>67</v>
      </c>
      <c r="B10" s="47">
        <v>5014.96</v>
      </c>
      <c r="C10" s="47">
        <v>1909.5700000000002</v>
      </c>
      <c r="F10" s="5" t="str">
        <v>James Wilson</v>
      </c>
      <c r="G10" s="5">
        <v>20774.739999999998</v>
      </c>
      <c r="H10" s="5">
        <v>7077.9199999999992</v>
      </c>
    </row>
    <row r="11" spans="1:11" x14ac:dyDescent="0.3">
      <c r="A11" s="46" t="s">
        <v>62</v>
      </c>
      <c r="B11" s="47">
        <v>8543.9699999999993</v>
      </c>
      <c r="C11" s="47">
        <v>2718.8399999999997</v>
      </c>
      <c r="F11" s="5" t="str">
        <v>Mary Davis</v>
      </c>
      <c r="G11" s="5">
        <v>17143.289999999997</v>
      </c>
      <c r="H11" s="5">
        <v>6553.7899999999991</v>
      </c>
    </row>
    <row r="12" spans="1:11" x14ac:dyDescent="0.3">
      <c r="A12" s="46" t="s">
        <v>11</v>
      </c>
      <c r="B12" s="47">
        <v>6255.7</v>
      </c>
      <c r="C12" s="47">
        <v>2122.8200000000002</v>
      </c>
    </row>
    <row r="13" spans="1:11" x14ac:dyDescent="0.3">
      <c r="A13" s="46" t="s">
        <v>18</v>
      </c>
      <c r="B13" s="47">
        <v>5615.2800000000007</v>
      </c>
      <c r="C13" s="47">
        <v>2203.6800000000003</v>
      </c>
    </row>
    <row r="14" spans="1:11" x14ac:dyDescent="0.3">
      <c r="A14" s="46" t="s">
        <v>24</v>
      </c>
      <c r="B14" s="47">
        <v>20774.739999999998</v>
      </c>
      <c r="C14" s="47">
        <v>7077.9199999999992</v>
      </c>
    </row>
    <row r="15" spans="1:11" x14ac:dyDescent="0.3">
      <c r="A15" s="46" t="s">
        <v>52</v>
      </c>
      <c r="B15" s="47">
        <v>1450.99</v>
      </c>
      <c r="C15" s="47">
        <v>410.91999999999996</v>
      </c>
    </row>
    <row r="16" spans="1:11" x14ac:dyDescent="0.3">
      <c r="A16" s="46" t="s">
        <v>51</v>
      </c>
      <c r="B16" s="47">
        <v>5801.29</v>
      </c>
      <c r="C16" s="47">
        <v>1885.71</v>
      </c>
    </row>
    <row r="17" spans="1:3" x14ac:dyDescent="0.3">
      <c r="A17" s="46" t="s">
        <v>63</v>
      </c>
      <c r="B17" s="47">
        <v>856.7</v>
      </c>
      <c r="C17" s="47">
        <v>214.18</v>
      </c>
    </row>
    <row r="18" spans="1:3" x14ac:dyDescent="0.3">
      <c r="A18" s="46" t="s">
        <v>34</v>
      </c>
      <c r="B18" s="47">
        <v>3968.59</v>
      </c>
      <c r="C18" s="47">
        <v>1386.78</v>
      </c>
    </row>
    <row r="19" spans="1:3" x14ac:dyDescent="0.3">
      <c r="A19" s="46" t="s">
        <v>70</v>
      </c>
      <c r="B19" s="47">
        <v>2304.9</v>
      </c>
      <c r="C19" s="47">
        <v>1020.72</v>
      </c>
    </row>
    <row r="20" spans="1:3" x14ac:dyDescent="0.3">
      <c r="A20" s="46" t="s">
        <v>54</v>
      </c>
      <c r="B20" s="47">
        <v>7522.77</v>
      </c>
      <c r="C20" s="47">
        <v>2912.54</v>
      </c>
    </row>
    <row r="21" spans="1:3" x14ac:dyDescent="0.3">
      <c r="A21" s="46" t="s">
        <v>30</v>
      </c>
      <c r="B21" s="47">
        <v>9970.1999999999989</v>
      </c>
      <c r="C21" s="47">
        <v>3241.1099999999997</v>
      </c>
    </row>
    <row r="22" spans="1:3" x14ac:dyDescent="0.3">
      <c r="A22" s="46" t="s">
        <v>49</v>
      </c>
      <c r="B22" s="47">
        <v>8090.12</v>
      </c>
      <c r="C22" s="47">
        <v>2918.14</v>
      </c>
    </row>
    <row r="23" spans="1:3" x14ac:dyDescent="0.3">
      <c r="A23" s="46" t="s">
        <v>46</v>
      </c>
      <c r="B23" s="47">
        <v>8635.9500000000007</v>
      </c>
      <c r="C23" s="47">
        <v>3074.45</v>
      </c>
    </row>
    <row r="24" spans="1:3" x14ac:dyDescent="0.3">
      <c r="A24" s="46" t="s">
        <v>32</v>
      </c>
      <c r="B24" s="47">
        <v>17143.289999999997</v>
      </c>
      <c r="C24" s="47">
        <v>6553.7899999999991</v>
      </c>
    </row>
    <row r="25" spans="1:3" x14ac:dyDescent="0.3">
      <c r="A25" s="46" t="s">
        <v>48</v>
      </c>
      <c r="B25" s="47">
        <v>7251.18</v>
      </c>
      <c r="C25" s="47">
        <v>2339.64</v>
      </c>
    </row>
    <row r="26" spans="1:3" x14ac:dyDescent="0.3">
      <c r="A26" s="46" t="s">
        <v>60</v>
      </c>
      <c r="B26" s="47">
        <v>5443.34</v>
      </c>
      <c r="C26" s="47">
        <v>2285.64</v>
      </c>
    </row>
    <row r="27" spans="1:3" x14ac:dyDescent="0.3">
      <c r="A27" s="46" t="s">
        <v>27</v>
      </c>
      <c r="B27" s="47">
        <v>7881.9</v>
      </c>
      <c r="C27" s="47">
        <v>2535.5100000000002</v>
      </c>
    </row>
    <row r="28" spans="1:3" x14ac:dyDescent="0.3">
      <c r="A28" s="46" t="s">
        <v>15</v>
      </c>
      <c r="B28" s="47">
        <v>8331.8499999999985</v>
      </c>
      <c r="C28" s="47">
        <v>2765.53</v>
      </c>
    </row>
    <row r="29" spans="1:3" x14ac:dyDescent="0.3">
      <c r="A29" s="46" t="s">
        <v>44</v>
      </c>
      <c r="B29" s="47">
        <v>7296.1900000000005</v>
      </c>
      <c r="C29" s="47">
        <v>2060.81</v>
      </c>
    </row>
    <row r="30" spans="1:3" x14ac:dyDescent="0.3">
      <c r="A30" s="46" t="s">
        <v>65</v>
      </c>
      <c r="B30" s="47">
        <v>5771.59</v>
      </c>
      <c r="C30" s="47">
        <v>2039.74</v>
      </c>
    </row>
  </sheetData>
  <mergeCells count="3">
    <mergeCell ref="D1:K1"/>
    <mergeCell ref="H3:H4"/>
    <mergeCell ref="I3:I4"/>
  </mergeCells>
  <conditionalFormatting sqref="A3">
    <cfRule type="top10" dxfId="3" priority="3" rank="10"/>
  </conditionalFormatting>
  <conditionalFormatting sqref="B3:C3">
    <cfRule type="top10" dxfId="2" priority="2" rank="10"/>
  </conditionalFormatting>
  <conditionalFormatting sqref="A4:C30">
    <cfRule type="top10" dxfId="1" priority="1" rank="10"/>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6D1EE0-91B1-41E3-A10A-5E06B428E215}">
  <dimension ref="A1:P11"/>
  <sheetViews>
    <sheetView zoomScale="115" zoomScaleNormal="115" workbookViewId="0">
      <selection sqref="A1:P1"/>
    </sheetView>
  </sheetViews>
  <sheetFormatPr defaultRowHeight="14.4" x14ac:dyDescent="0.3"/>
  <cols>
    <col min="1" max="1" width="18.5546875" bestFit="1" customWidth="1"/>
    <col min="2" max="6" width="9" bestFit="1" customWidth="1"/>
    <col min="7" max="7" width="10.77734375" bestFit="1" customWidth="1"/>
    <col min="8" max="8" width="10" bestFit="1" customWidth="1"/>
    <col min="9" max="11" width="8" bestFit="1" customWidth="1"/>
    <col min="12" max="12" width="9" bestFit="1" customWidth="1"/>
    <col min="13" max="13" width="12.6640625" bestFit="1" customWidth="1"/>
    <col min="14" max="14" width="12" bestFit="1" customWidth="1"/>
    <col min="15" max="16" width="8" bestFit="1" customWidth="1"/>
    <col min="17" max="18" width="9" bestFit="1" customWidth="1"/>
    <col min="19" max="19" width="14.77734375" bestFit="1" customWidth="1"/>
    <col min="20" max="20" width="10.6640625" bestFit="1" customWidth="1"/>
    <col min="21" max="24" width="8" bestFit="1" customWidth="1"/>
    <col min="25" max="25" width="13.44140625" bestFit="1" customWidth="1"/>
    <col min="26" max="26" width="15.5546875" bestFit="1" customWidth="1"/>
    <col min="27" max="27" width="8" bestFit="1" customWidth="1"/>
    <col min="28" max="28" width="7" bestFit="1" customWidth="1"/>
    <col min="29" max="30" width="8" bestFit="1" customWidth="1"/>
    <col min="31" max="31" width="18.33203125" bestFit="1" customWidth="1"/>
    <col min="32" max="32" width="10.77734375" bestFit="1" customWidth="1"/>
  </cols>
  <sheetData>
    <row r="1" spans="1:16" ht="21" x14ac:dyDescent="0.4">
      <c r="A1" s="32" t="s">
        <v>135</v>
      </c>
      <c r="B1" s="32"/>
      <c r="C1" s="32"/>
      <c r="D1" s="32"/>
      <c r="E1" s="32"/>
      <c r="F1" s="32"/>
      <c r="G1" s="32"/>
      <c r="H1" s="32"/>
      <c r="I1" s="32"/>
      <c r="J1" s="32"/>
      <c r="K1" s="32"/>
      <c r="L1" s="32"/>
      <c r="M1" s="32"/>
      <c r="N1" s="32"/>
      <c r="O1" s="32"/>
      <c r="P1" s="32"/>
    </row>
    <row r="4" spans="1:16" x14ac:dyDescent="0.3">
      <c r="B4" s="18" t="s">
        <v>134</v>
      </c>
      <c r="C4" s="18" t="s">
        <v>3</v>
      </c>
    </row>
    <row r="5" spans="1:16" x14ac:dyDescent="0.3">
      <c r="B5" s="18" t="s">
        <v>4</v>
      </c>
      <c r="C5" t="s">
        <v>35</v>
      </c>
      <c r="D5" t="s">
        <v>19</v>
      </c>
      <c r="E5" t="s">
        <v>25</v>
      </c>
      <c r="F5" t="s">
        <v>21</v>
      </c>
      <c r="G5" t="s">
        <v>12</v>
      </c>
      <c r="H5" t="s">
        <v>129</v>
      </c>
    </row>
    <row r="6" spans="1:16" x14ac:dyDescent="0.3">
      <c r="B6" t="s">
        <v>13</v>
      </c>
      <c r="C6">
        <v>11297.150000000001</v>
      </c>
      <c r="D6">
        <v>11389.090000000002</v>
      </c>
      <c r="E6">
        <v>8037.0100000000011</v>
      </c>
      <c r="F6">
        <v>9588.0400000000009</v>
      </c>
      <c r="G6">
        <v>6691.17</v>
      </c>
      <c r="H6">
        <v>47002.460000000006</v>
      </c>
    </row>
    <row r="7" spans="1:16" x14ac:dyDescent="0.3">
      <c r="B7" t="s">
        <v>16</v>
      </c>
      <c r="C7">
        <v>12200.26</v>
      </c>
      <c r="D7">
        <v>2401.4499999999998</v>
      </c>
      <c r="E7">
        <v>8422.82</v>
      </c>
      <c r="F7">
        <v>8393.630000000001</v>
      </c>
      <c r="G7">
        <v>10509.429999999998</v>
      </c>
      <c r="H7">
        <v>41927.589999999997</v>
      </c>
    </row>
    <row r="8" spans="1:16" x14ac:dyDescent="0.3">
      <c r="B8" t="s">
        <v>22</v>
      </c>
      <c r="C8">
        <v>6621.24</v>
      </c>
      <c r="D8">
        <v>2869.54</v>
      </c>
      <c r="E8">
        <v>8191.7099999999991</v>
      </c>
      <c r="F8">
        <v>11989.070000000003</v>
      </c>
      <c r="G8">
        <v>11372.44</v>
      </c>
      <c r="H8">
        <v>41044</v>
      </c>
    </row>
    <row r="9" spans="1:16" x14ac:dyDescent="0.3">
      <c r="B9" t="s">
        <v>28</v>
      </c>
      <c r="C9">
        <v>4876.96</v>
      </c>
      <c r="D9">
        <v>7592.3399999999992</v>
      </c>
      <c r="E9">
        <v>6978.08</v>
      </c>
      <c r="F9">
        <v>7982.73</v>
      </c>
      <c r="G9">
        <v>9182.7800000000007</v>
      </c>
      <c r="H9">
        <v>36612.89</v>
      </c>
    </row>
    <row r="10" spans="1:16" x14ac:dyDescent="0.3">
      <c r="B10" t="s">
        <v>40</v>
      </c>
      <c r="C10">
        <v>8472.7199999999993</v>
      </c>
      <c r="D10">
        <v>8189.2200000000012</v>
      </c>
      <c r="E10">
        <v>3345.8</v>
      </c>
      <c r="F10">
        <v>2295.3199999999997</v>
      </c>
      <c r="G10">
        <v>6327.76</v>
      </c>
      <c r="H10">
        <v>28630.82</v>
      </c>
    </row>
    <row r="11" spans="1:16" x14ac:dyDescent="0.3">
      <c r="B11" t="s">
        <v>129</v>
      </c>
      <c r="C11">
        <v>43468.33</v>
      </c>
      <c r="D11">
        <v>32441.640000000003</v>
      </c>
      <c r="E11">
        <v>34975.420000000006</v>
      </c>
      <c r="F11">
        <v>40248.79</v>
      </c>
      <c r="G11">
        <v>44083.58</v>
      </c>
      <c r="H11">
        <v>195217.76</v>
      </c>
    </row>
  </sheetData>
  <mergeCells count="1">
    <mergeCell ref="A1:P1"/>
  </mergeCells>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BBBC46-AAC2-4E65-9A18-8474DF0285DE}">
  <dimension ref="A1:AB16"/>
  <sheetViews>
    <sheetView zoomScale="62" zoomScaleNormal="70" workbookViewId="0">
      <selection activeCell="R38" sqref="R38"/>
    </sheetView>
  </sheetViews>
  <sheetFormatPr defaultRowHeight="14.4" x14ac:dyDescent="0.3"/>
  <cols>
    <col min="1" max="1" width="14.88671875" bestFit="1" customWidth="1"/>
    <col min="2" max="2" width="16.44140625" bestFit="1" customWidth="1"/>
    <col min="3" max="3" width="11.88671875" customWidth="1"/>
    <col min="4" max="4" width="12.44140625" customWidth="1"/>
    <col min="5" max="5" width="25.77734375" customWidth="1"/>
    <col min="6" max="6" width="10.6640625" customWidth="1"/>
    <col min="7" max="7" width="10.77734375" bestFit="1" customWidth="1"/>
    <col min="9" max="9" width="14.88671875" bestFit="1" customWidth="1"/>
    <col min="10" max="10" width="16.44140625" bestFit="1" customWidth="1"/>
    <col min="11" max="11" width="12.5546875" bestFit="1" customWidth="1"/>
    <col min="12" max="12" width="11.6640625" bestFit="1" customWidth="1"/>
    <col min="13" max="13" width="12.5546875" customWidth="1"/>
    <col min="14" max="14" width="5.88671875" bestFit="1" customWidth="1"/>
    <col min="15" max="15" width="6" bestFit="1" customWidth="1"/>
    <col min="16" max="16" width="5.21875" bestFit="1" customWidth="1"/>
    <col min="17" max="17" width="10.77734375" bestFit="1" customWidth="1"/>
    <col min="18" max="20" width="7" bestFit="1" customWidth="1"/>
    <col min="21" max="21" width="18.44140625" bestFit="1" customWidth="1"/>
    <col min="22" max="22" width="16.44140625" bestFit="1" customWidth="1"/>
    <col min="23" max="28" width="7" bestFit="1" customWidth="1"/>
    <col min="29" max="29" width="6" bestFit="1" customWidth="1"/>
    <col min="30" max="33" width="7" bestFit="1" customWidth="1"/>
    <col min="34" max="43" width="8" bestFit="1" customWidth="1"/>
    <col min="44" max="44" width="7" bestFit="1" customWidth="1"/>
    <col min="45" max="55" width="8" bestFit="1" customWidth="1"/>
    <col min="56" max="56" width="11.6640625" bestFit="1" customWidth="1"/>
    <col min="57" max="62" width="7" bestFit="1" customWidth="1"/>
    <col min="63" max="63" width="6" bestFit="1" customWidth="1"/>
    <col min="64" max="69" width="7" bestFit="1" customWidth="1"/>
    <col min="70" max="86" width="8" bestFit="1" customWidth="1"/>
    <col min="87" max="87" width="7" bestFit="1" customWidth="1"/>
    <col min="88" max="88" width="8" bestFit="1" customWidth="1"/>
    <col min="89" max="89" width="9.109375" bestFit="1" customWidth="1"/>
    <col min="90" max="90" width="7.88671875" bestFit="1" customWidth="1"/>
    <col min="91" max="105" width="7" bestFit="1" customWidth="1"/>
    <col min="106" max="106" width="6" bestFit="1" customWidth="1"/>
    <col min="107" max="108" width="7" bestFit="1" customWidth="1"/>
    <col min="109" max="109" width="4" bestFit="1" customWidth="1"/>
    <col min="110" max="114" width="7" bestFit="1" customWidth="1"/>
    <col min="115" max="116" width="8" bestFit="1" customWidth="1"/>
    <col min="117" max="117" width="7" bestFit="1" customWidth="1"/>
    <col min="118" max="120" width="8" bestFit="1" customWidth="1"/>
    <col min="121" max="121" width="7" bestFit="1" customWidth="1"/>
    <col min="122" max="128" width="8" bestFit="1" customWidth="1"/>
    <col min="129" max="129" width="10.5546875" bestFit="1" customWidth="1"/>
    <col min="130" max="130" width="8" bestFit="1" customWidth="1"/>
    <col min="131" max="135" width="7" bestFit="1" customWidth="1"/>
    <col min="136" max="136" width="6" bestFit="1" customWidth="1"/>
    <col min="137" max="150" width="7" bestFit="1" customWidth="1"/>
    <col min="151" max="151" width="6" bestFit="1" customWidth="1"/>
    <col min="152" max="152" width="7" bestFit="1" customWidth="1"/>
    <col min="153" max="153" width="6" bestFit="1" customWidth="1"/>
    <col min="154" max="154" width="7" bestFit="1" customWidth="1"/>
    <col min="155" max="155" width="6" bestFit="1" customWidth="1"/>
    <col min="156" max="160" width="8" bestFit="1" customWidth="1"/>
    <col min="161" max="161" width="7" bestFit="1" customWidth="1"/>
    <col min="162" max="171" width="8" bestFit="1" customWidth="1"/>
    <col min="172" max="172" width="10.6640625" bestFit="1" customWidth="1"/>
    <col min="173" max="173" width="7.21875" bestFit="1" customWidth="1"/>
    <col min="174" max="177" width="7" bestFit="1" customWidth="1"/>
    <col min="178" max="178" width="6" bestFit="1" customWidth="1"/>
    <col min="179" max="190" width="7" bestFit="1" customWidth="1"/>
    <col min="191" max="191" width="6" bestFit="1" customWidth="1"/>
    <col min="192" max="192" width="7" bestFit="1" customWidth="1"/>
    <col min="193" max="193" width="8" bestFit="1" customWidth="1"/>
    <col min="194" max="194" width="7" bestFit="1" customWidth="1"/>
    <col min="195" max="212" width="8" bestFit="1" customWidth="1"/>
    <col min="213" max="213" width="7" bestFit="1" customWidth="1"/>
    <col min="214" max="215" width="8" bestFit="1" customWidth="1"/>
    <col min="216" max="216" width="9.88671875" bestFit="1" customWidth="1"/>
    <col min="217" max="217" width="10.77734375" bestFit="1" customWidth="1"/>
  </cols>
  <sheetData>
    <row r="1" spans="1:28" ht="33.6" x14ac:dyDescent="0.65">
      <c r="A1" s="54" t="s">
        <v>161</v>
      </c>
      <c r="B1" s="55"/>
      <c r="C1" s="55"/>
      <c r="D1" s="55"/>
      <c r="E1" s="55"/>
      <c r="F1" s="55"/>
      <c r="G1" s="55"/>
      <c r="H1" s="55"/>
      <c r="I1" s="55"/>
      <c r="J1" s="55"/>
      <c r="K1" s="55"/>
      <c r="L1" s="55"/>
      <c r="M1" s="55"/>
      <c r="N1" s="55"/>
      <c r="O1" s="55"/>
      <c r="P1" s="55"/>
      <c r="Q1" s="55"/>
      <c r="R1" s="55"/>
      <c r="S1" s="55"/>
      <c r="T1" s="55"/>
      <c r="U1" s="55"/>
      <c r="V1" s="55"/>
      <c r="W1" s="55"/>
      <c r="X1" s="55"/>
      <c r="Y1" s="55"/>
      <c r="Z1" s="55"/>
      <c r="AA1" s="55"/>
      <c r="AB1" s="55"/>
    </row>
    <row r="2" spans="1:28" ht="23.4" customHeight="1" x14ac:dyDescent="0.3"/>
    <row r="3" spans="1:28" x14ac:dyDescent="0.3">
      <c r="I3" s="18" t="s">
        <v>128</v>
      </c>
      <c r="J3" t="s">
        <v>134</v>
      </c>
    </row>
    <row r="4" spans="1:28" x14ac:dyDescent="0.3">
      <c r="I4" s="19" t="s">
        <v>136</v>
      </c>
      <c r="J4">
        <v>14914.650000000001</v>
      </c>
    </row>
    <row r="5" spans="1:28" x14ac:dyDescent="0.3">
      <c r="I5" s="19" t="s">
        <v>137</v>
      </c>
      <c r="J5">
        <v>14006.359999999999</v>
      </c>
      <c r="U5" s="18" t="s">
        <v>128</v>
      </c>
      <c r="V5" t="s">
        <v>134</v>
      </c>
    </row>
    <row r="6" spans="1:28" x14ac:dyDescent="0.3">
      <c r="A6" s="18" t="s">
        <v>128</v>
      </c>
      <c r="B6" t="s">
        <v>134</v>
      </c>
      <c r="I6" s="19" t="s">
        <v>138</v>
      </c>
      <c r="J6">
        <v>17655.219999999998</v>
      </c>
      <c r="U6" s="19" t="s">
        <v>13</v>
      </c>
      <c r="V6">
        <v>47002.460000000006</v>
      </c>
    </row>
    <row r="7" spans="1:28" x14ac:dyDescent="0.3">
      <c r="A7" s="19" t="s">
        <v>35</v>
      </c>
      <c r="B7">
        <v>43468.33</v>
      </c>
      <c r="I7" s="19" t="s">
        <v>130</v>
      </c>
      <c r="J7">
        <v>22242.129999999997</v>
      </c>
      <c r="U7" s="19" t="s">
        <v>16</v>
      </c>
      <c r="V7">
        <v>41927.589999999989</v>
      </c>
    </row>
    <row r="8" spans="1:28" x14ac:dyDescent="0.3">
      <c r="A8" s="19" t="s">
        <v>19</v>
      </c>
      <c r="B8">
        <v>32441.64</v>
      </c>
      <c r="I8" s="19" t="s">
        <v>131</v>
      </c>
      <c r="J8">
        <v>18507.339999999997</v>
      </c>
      <c r="U8" s="19" t="s">
        <v>22</v>
      </c>
      <c r="V8">
        <v>41044.000000000007</v>
      </c>
    </row>
    <row r="9" spans="1:28" x14ac:dyDescent="0.3">
      <c r="A9" s="19" t="s">
        <v>25</v>
      </c>
      <c r="B9">
        <v>34975.42</v>
      </c>
      <c r="I9" s="19" t="s">
        <v>132</v>
      </c>
      <c r="J9">
        <v>20187.509999999998</v>
      </c>
      <c r="U9" s="19" t="s">
        <v>28</v>
      </c>
      <c r="V9">
        <v>36612.89</v>
      </c>
    </row>
    <row r="10" spans="1:28" x14ac:dyDescent="0.3">
      <c r="A10" s="19" t="s">
        <v>21</v>
      </c>
      <c r="B10">
        <v>40248.79</v>
      </c>
      <c r="I10" s="19" t="s">
        <v>139</v>
      </c>
      <c r="J10">
        <v>11609.039999999999</v>
      </c>
      <c r="U10" s="19" t="s">
        <v>40</v>
      </c>
      <c r="V10">
        <v>28630.819999999992</v>
      </c>
    </row>
    <row r="11" spans="1:28" x14ac:dyDescent="0.3">
      <c r="A11" s="19" t="s">
        <v>12</v>
      </c>
      <c r="B11">
        <v>44083.58</v>
      </c>
      <c r="I11" s="19" t="s">
        <v>140</v>
      </c>
      <c r="J11">
        <v>10091.699999999999</v>
      </c>
      <c r="U11" s="19" t="s">
        <v>129</v>
      </c>
      <c r="V11">
        <v>195217.76</v>
      </c>
    </row>
    <row r="12" spans="1:28" x14ac:dyDescent="0.3">
      <c r="A12" s="19" t="s">
        <v>129</v>
      </c>
      <c r="B12">
        <v>195217.76</v>
      </c>
      <c r="I12" s="19" t="s">
        <v>141</v>
      </c>
      <c r="J12">
        <v>20533.499999999996</v>
      </c>
    </row>
    <row r="13" spans="1:28" x14ac:dyDescent="0.3">
      <c r="I13" s="19" t="s">
        <v>142</v>
      </c>
      <c r="J13">
        <v>14215.240000000002</v>
      </c>
    </row>
    <row r="14" spans="1:28" x14ac:dyDescent="0.3">
      <c r="I14" s="19" t="s">
        <v>143</v>
      </c>
      <c r="J14">
        <v>20135.030000000002</v>
      </c>
    </row>
    <row r="15" spans="1:28" x14ac:dyDescent="0.3">
      <c r="I15" s="19" t="s">
        <v>144</v>
      </c>
      <c r="J15">
        <v>11120.04</v>
      </c>
    </row>
    <row r="16" spans="1:28" x14ac:dyDescent="0.3">
      <c r="I16" s="19" t="s">
        <v>129</v>
      </c>
      <c r="J16">
        <v>195217.75999999995</v>
      </c>
    </row>
  </sheetData>
  <mergeCells count="1">
    <mergeCell ref="A1:AB1"/>
  </mergeCells>
  <pageMargins left="0.7" right="0.7" top="0.75" bottom="0.75" header="0.3" footer="0.3"/>
  <drawing r:id="rId4"/>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C4D647-AD13-481C-A9F9-85EC7D78C7C6}">
  <dimension ref="A1:R33"/>
  <sheetViews>
    <sheetView topLeftCell="B1" zoomScale="115" zoomScaleNormal="115" workbookViewId="0">
      <selection activeCell="E15" sqref="E15"/>
    </sheetView>
  </sheetViews>
  <sheetFormatPr defaultRowHeight="14.4" x14ac:dyDescent="0.3"/>
  <cols>
    <col min="3" max="3" width="12.5546875" bestFit="1" customWidth="1"/>
    <col min="4" max="4" width="11.6640625" bestFit="1" customWidth="1"/>
    <col min="6" max="6" width="13.109375" bestFit="1" customWidth="1"/>
    <col min="7" max="7" width="11.6640625" bestFit="1" customWidth="1"/>
    <col min="9" max="9" width="12.5546875" bestFit="1" customWidth="1"/>
    <col min="10" max="10" width="11.6640625" bestFit="1" customWidth="1"/>
    <col min="12" max="12" width="15.88671875" bestFit="1" customWidth="1"/>
    <col min="13" max="13" width="11.6640625" bestFit="1" customWidth="1"/>
    <col min="15" max="15" width="13.109375" bestFit="1" customWidth="1"/>
    <col min="16" max="16" width="12.109375" bestFit="1" customWidth="1"/>
  </cols>
  <sheetData>
    <row r="1" spans="1:18" ht="23.4" x14ac:dyDescent="0.45">
      <c r="A1" s="33" t="s">
        <v>146</v>
      </c>
      <c r="B1" s="34"/>
      <c r="C1" s="34"/>
      <c r="D1" s="34"/>
      <c r="E1" s="34"/>
      <c r="F1" s="34"/>
      <c r="G1" s="34"/>
      <c r="H1" s="34"/>
      <c r="I1" s="34"/>
      <c r="J1" s="34"/>
      <c r="K1" s="34"/>
      <c r="L1" s="34"/>
      <c r="M1" s="34"/>
      <c r="N1" s="34"/>
      <c r="O1" s="34"/>
      <c r="P1" s="34"/>
      <c r="Q1" s="34"/>
      <c r="R1" s="34"/>
    </row>
    <row r="3" spans="1:18" x14ac:dyDescent="0.3">
      <c r="C3" s="35" t="s">
        <v>147</v>
      </c>
      <c r="D3" s="36"/>
      <c r="F3" s="35" t="s">
        <v>148</v>
      </c>
      <c r="G3" s="36"/>
      <c r="I3" s="35" t="s">
        <v>149</v>
      </c>
      <c r="J3" s="36"/>
      <c r="L3" s="35" t="s">
        <v>150</v>
      </c>
      <c r="M3" s="36"/>
      <c r="O3" s="35" t="s">
        <v>151</v>
      </c>
      <c r="P3" s="36"/>
    </row>
    <row r="5" spans="1:18" x14ac:dyDescent="0.3">
      <c r="C5" s="18" t="s">
        <v>128</v>
      </c>
      <c r="D5" t="s">
        <v>134</v>
      </c>
      <c r="F5" s="18" t="s">
        <v>128</v>
      </c>
      <c r="G5" t="s">
        <v>134</v>
      </c>
      <c r="I5" s="18" t="s">
        <v>128</v>
      </c>
      <c r="J5" t="s">
        <v>134</v>
      </c>
      <c r="L5" s="18" t="s">
        <v>128</v>
      </c>
      <c r="M5" t="s">
        <v>134</v>
      </c>
      <c r="O5" s="18" t="s">
        <v>128</v>
      </c>
      <c r="P5" t="s">
        <v>145</v>
      </c>
    </row>
    <row r="6" spans="1:18" x14ac:dyDescent="0.3">
      <c r="C6" s="19" t="s">
        <v>35</v>
      </c>
      <c r="D6" s="37">
        <v>43468.33</v>
      </c>
      <c r="F6" s="19" t="s">
        <v>13</v>
      </c>
      <c r="G6" s="37">
        <v>47002.460000000006</v>
      </c>
      <c r="I6" t="s">
        <v>136</v>
      </c>
      <c r="J6" s="37">
        <v>14914.650000000001</v>
      </c>
      <c r="L6" s="19" t="s">
        <v>72</v>
      </c>
      <c r="M6" s="37">
        <v>5465.71</v>
      </c>
      <c r="O6" s="19" t="s">
        <v>13</v>
      </c>
      <c r="P6" s="37">
        <v>16901.630000000005</v>
      </c>
    </row>
    <row r="7" spans="1:18" x14ac:dyDescent="0.3">
      <c r="C7" s="19" t="s">
        <v>19</v>
      </c>
      <c r="D7" s="37">
        <v>32441.64</v>
      </c>
      <c r="F7" s="19" t="s">
        <v>16</v>
      </c>
      <c r="G7" s="37">
        <v>41927.589999999989</v>
      </c>
      <c r="I7" t="s">
        <v>137</v>
      </c>
      <c r="J7" s="37">
        <v>14006.359999999999</v>
      </c>
      <c r="L7" s="19" t="s">
        <v>56</v>
      </c>
      <c r="M7" s="37">
        <v>11915.829999999998</v>
      </c>
      <c r="O7" s="19" t="s">
        <v>16</v>
      </c>
      <c r="P7" s="37">
        <v>18784.490000000002</v>
      </c>
    </row>
    <row r="8" spans="1:18" x14ac:dyDescent="0.3">
      <c r="C8" s="19" t="s">
        <v>25</v>
      </c>
      <c r="D8" s="37">
        <v>34975.42</v>
      </c>
      <c r="F8" s="19" t="s">
        <v>22</v>
      </c>
      <c r="G8" s="37">
        <v>41044.000000000007</v>
      </c>
      <c r="I8" t="s">
        <v>138</v>
      </c>
      <c r="J8" s="37">
        <v>17655.219999999998</v>
      </c>
      <c r="L8" s="19" t="s">
        <v>57</v>
      </c>
      <c r="M8" s="37">
        <v>3819.1400000000003</v>
      </c>
      <c r="O8" s="19" t="s">
        <v>22</v>
      </c>
      <c r="P8" s="37">
        <v>9182.1500000000015</v>
      </c>
    </row>
    <row r="9" spans="1:18" x14ac:dyDescent="0.3">
      <c r="C9" s="19" t="s">
        <v>21</v>
      </c>
      <c r="D9" s="37">
        <v>40248.79</v>
      </c>
      <c r="F9" s="19" t="s">
        <v>28</v>
      </c>
      <c r="G9" s="37">
        <v>36612.89</v>
      </c>
      <c r="I9" t="s">
        <v>130</v>
      </c>
      <c r="J9" s="37">
        <v>22242.129999999997</v>
      </c>
      <c r="L9" s="19" t="s">
        <v>43</v>
      </c>
      <c r="M9" s="37">
        <v>1672.88</v>
      </c>
      <c r="O9" s="19" t="s">
        <v>28</v>
      </c>
      <c r="P9" s="37">
        <v>11579.140000000003</v>
      </c>
    </row>
    <row r="10" spans="1:18" x14ac:dyDescent="0.3">
      <c r="C10" s="19" t="s">
        <v>12</v>
      </c>
      <c r="D10" s="37">
        <v>44083.58</v>
      </c>
      <c r="F10" s="19" t="s">
        <v>40</v>
      </c>
      <c r="G10" s="37">
        <v>28630.819999999992</v>
      </c>
      <c r="I10" t="s">
        <v>131</v>
      </c>
      <c r="J10" s="37">
        <v>18507.339999999997</v>
      </c>
      <c r="L10" s="19" t="s">
        <v>37</v>
      </c>
      <c r="M10" s="37">
        <v>7020.3799999999992</v>
      </c>
      <c r="O10" s="19" t="s">
        <v>40</v>
      </c>
      <c r="P10" s="37">
        <v>11839.599999999999</v>
      </c>
    </row>
    <row r="11" spans="1:18" x14ac:dyDescent="0.3">
      <c r="C11" s="19" t="s">
        <v>129</v>
      </c>
      <c r="D11" s="37">
        <v>195217.76</v>
      </c>
      <c r="F11" s="19" t="s">
        <v>129</v>
      </c>
      <c r="G11" s="37">
        <v>195217.76</v>
      </c>
      <c r="I11" t="s">
        <v>132</v>
      </c>
      <c r="J11" s="37">
        <v>20187.509999999998</v>
      </c>
      <c r="L11" s="19" t="s">
        <v>39</v>
      </c>
      <c r="M11" s="37">
        <v>11398.32</v>
      </c>
      <c r="O11" s="19" t="s">
        <v>129</v>
      </c>
      <c r="P11" s="37">
        <v>68287.010000000009</v>
      </c>
    </row>
    <row r="12" spans="1:18" x14ac:dyDescent="0.3">
      <c r="I12" t="s">
        <v>139</v>
      </c>
      <c r="J12" s="37">
        <v>11609.039999999999</v>
      </c>
      <c r="L12" s="19" t="s">
        <v>67</v>
      </c>
      <c r="M12" s="37">
        <v>5014.96</v>
      </c>
    </row>
    <row r="13" spans="1:18" x14ac:dyDescent="0.3">
      <c r="I13" t="s">
        <v>140</v>
      </c>
      <c r="J13" s="37">
        <v>10091.699999999999</v>
      </c>
      <c r="L13" s="19" t="s">
        <v>62</v>
      </c>
      <c r="M13" s="37">
        <v>8543.9699999999993</v>
      </c>
    </row>
    <row r="14" spans="1:18" x14ac:dyDescent="0.3">
      <c r="I14" t="s">
        <v>141</v>
      </c>
      <c r="J14" s="37">
        <v>20533.499999999996</v>
      </c>
      <c r="L14" s="19" t="s">
        <v>11</v>
      </c>
      <c r="M14" s="37">
        <v>6255.7</v>
      </c>
    </row>
    <row r="15" spans="1:18" x14ac:dyDescent="0.3">
      <c r="I15" t="s">
        <v>142</v>
      </c>
      <c r="J15" s="37">
        <v>14215.240000000002</v>
      </c>
      <c r="L15" s="19" t="s">
        <v>18</v>
      </c>
      <c r="M15" s="37">
        <v>5615.2800000000007</v>
      </c>
    </row>
    <row r="16" spans="1:18" x14ac:dyDescent="0.3">
      <c r="I16" t="s">
        <v>143</v>
      </c>
      <c r="J16" s="37">
        <v>20135.030000000002</v>
      </c>
      <c r="L16" s="19" t="s">
        <v>24</v>
      </c>
      <c r="M16" s="37">
        <v>20774.739999999998</v>
      </c>
    </row>
    <row r="17" spans="9:13" x14ac:dyDescent="0.3">
      <c r="I17" t="s">
        <v>144</v>
      </c>
      <c r="J17" s="37">
        <v>11120.04</v>
      </c>
      <c r="L17" s="19" t="s">
        <v>52</v>
      </c>
      <c r="M17" s="37">
        <v>1450.99</v>
      </c>
    </row>
    <row r="18" spans="9:13" x14ac:dyDescent="0.3">
      <c r="I18" t="s">
        <v>129</v>
      </c>
      <c r="J18" s="37">
        <v>195217.75999999995</v>
      </c>
      <c r="L18" s="19" t="s">
        <v>51</v>
      </c>
      <c r="M18" s="37">
        <v>5801.29</v>
      </c>
    </row>
    <row r="19" spans="9:13" x14ac:dyDescent="0.3">
      <c r="L19" s="19" t="s">
        <v>63</v>
      </c>
      <c r="M19" s="37">
        <v>856.7</v>
      </c>
    </row>
    <row r="20" spans="9:13" x14ac:dyDescent="0.3">
      <c r="L20" s="19" t="s">
        <v>34</v>
      </c>
      <c r="M20" s="37">
        <v>3968.59</v>
      </c>
    </row>
    <row r="21" spans="9:13" x14ac:dyDescent="0.3">
      <c r="L21" s="19" t="s">
        <v>70</v>
      </c>
      <c r="M21" s="37">
        <v>2304.9</v>
      </c>
    </row>
    <row r="22" spans="9:13" x14ac:dyDescent="0.3">
      <c r="L22" s="19" t="s">
        <v>54</v>
      </c>
      <c r="M22" s="37">
        <v>7522.77</v>
      </c>
    </row>
    <row r="23" spans="9:13" x14ac:dyDescent="0.3">
      <c r="L23" s="19" t="s">
        <v>30</v>
      </c>
      <c r="M23" s="37">
        <v>9970.1999999999989</v>
      </c>
    </row>
    <row r="24" spans="9:13" x14ac:dyDescent="0.3">
      <c r="L24" s="19" t="s">
        <v>49</v>
      </c>
      <c r="M24" s="37">
        <v>8090.12</v>
      </c>
    </row>
    <row r="25" spans="9:13" x14ac:dyDescent="0.3">
      <c r="L25" s="19" t="s">
        <v>46</v>
      </c>
      <c r="M25" s="37">
        <v>8635.9500000000007</v>
      </c>
    </row>
    <row r="26" spans="9:13" x14ac:dyDescent="0.3">
      <c r="L26" s="19" t="s">
        <v>32</v>
      </c>
      <c r="M26" s="37">
        <v>17143.289999999997</v>
      </c>
    </row>
    <row r="27" spans="9:13" x14ac:dyDescent="0.3">
      <c r="L27" s="19" t="s">
        <v>48</v>
      </c>
      <c r="M27" s="37">
        <v>7251.18</v>
      </c>
    </row>
    <row r="28" spans="9:13" x14ac:dyDescent="0.3">
      <c r="L28" s="19" t="s">
        <v>60</v>
      </c>
      <c r="M28" s="37">
        <v>5443.34</v>
      </c>
    </row>
    <row r="29" spans="9:13" x14ac:dyDescent="0.3">
      <c r="L29" s="19" t="s">
        <v>27</v>
      </c>
      <c r="M29" s="37">
        <v>7881.9</v>
      </c>
    </row>
    <row r="30" spans="9:13" x14ac:dyDescent="0.3">
      <c r="L30" s="19" t="s">
        <v>15</v>
      </c>
      <c r="M30" s="37">
        <v>8331.8499999999985</v>
      </c>
    </row>
    <row r="31" spans="9:13" x14ac:dyDescent="0.3">
      <c r="L31" s="19" t="s">
        <v>44</v>
      </c>
      <c r="M31" s="37">
        <v>7296.1900000000005</v>
      </c>
    </row>
    <row r="32" spans="9:13" x14ac:dyDescent="0.3">
      <c r="L32" s="19" t="s">
        <v>65</v>
      </c>
      <c r="M32" s="37">
        <v>5771.59</v>
      </c>
    </row>
    <row r="33" spans="12:13" x14ac:dyDescent="0.3">
      <c r="L33" s="19" t="s">
        <v>129</v>
      </c>
      <c r="M33" s="37">
        <v>195217.75999999998</v>
      </c>
    </row>
  </sheetData>
  <mergeCells count="6">
    <mergeCell ref="A1:R1"/>
    <mergeCell ref="C3:D3"/>
    <mergeCell ref="F3:G3"/>
    <mergeCell ref="I3:J3"/>
    <mergeCell ref="L3:M3"/>
    <mergeCell ref="O3:P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Project Instructions</vt:lpstr>
      <vt:lpstr>Dataset</vt:lpstr>
      <vt:lpstr>Dashboard</vt:lpstr>
      <vt:lpstr>Linear Regression</vt:lpstr>
      <vt:lpstr>Descriptive Statistics</vt:lpstr>
      <vt:lpstr>High Value customer</vt:lpstr>
      <vt:lpstr>Sales by region and product</vt:lpstr>
      <vt:lpstr>KPI</vt:lpstr>
      <vt:lpstr>Pivot Table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Kunj Mistry</cp:lastModifiedBy>
  <dcterms:modified xsi:type="dcterms:W3CDTF">2026-04-22T17:41:32Z</dcterms:modified>
</cp:coreProperties>
</file>